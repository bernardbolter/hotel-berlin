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isting 47" sheetId="2" state="visible" r:id="rId4"/>
    <sheet name="Workbook 38" sheetId="3" state="visible" r:id="rId5"/>
    <sheet name="Conflicts" sheetId="4" state="visible" r:id="rId6"/>
    <sheet name="Merge groups" sheetId="5" state="visible" r:id="rId7"/>
    <sheet name="Category map" sheetId="6" state="visible" r:id="rId8"/>
    <sheet name="Topics (revised)" sheetId="7" state="visible" r:id="rId9"/>
    <sheet name="Typed facts → tokens" sheetId="8" state="visible" r:id="rId10"/>
    <sheet name="Gaps (updated)" sheetId="9" state="visible" r:id="rId11"/>
  </sheets>
  <definedNames>
    <definedName function="false" hidden="true" localSheetId="1" name="_xlnm._FilterDatabase" vbProcedure="false">'Existing 47'!$A$1:$O$48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<sst xmlns="http://schemas.openxmlformats.org/spreadsheetml/2006/main" count="1181" uniqueCount="672">
  <si>
    <t xml:space="preserve">Hotel Berlin, Berlin – FAQ reconciliation</t>
  </si>
  <si>
    <t xml:space="preserve">Existing 47 FAQs (from the repo and live DB, which match exactly) reconciled against the 38 triaged from the chatbot export.</t>
  </si>
  <si>
    <t xml:space="preserve">Rule used: existing published content is never overwritten. Workbook entries either fill a gap (Net new), arrive as a proposed diff on an existing record (Merge into existing), or are retired because the existing answer is better (Existing wins).</t>
  </si>
  <si>
    <t xml:space="preserve">Counts</t>
  </si>
  <si>
    <t xml:space="preserve">Existing FAQs</t>
  </si>
  <si>
    <t xml:space="preserve">…of which merge into another record</t>
  </si>
  <si>
    <t xml:space="preserve">…surviving existing records</t>
  </si>
  <si>
    <t xml:space="preserve">Workbook FAQs – existing wins (retired)</t>
  </si>
  <si>
    <t xml:space="preserve">Workbook FAQs – merge into existing (diffs)</t>
  </si>
  <si>
    <t xml:space="preserve">Workbook FAQs – net new</t>
  </si>
  <si>
    <t xml:space="preserve">Total FAQs after reconcile</t>
  </si>
  <si>
    <t xml:space="preserve">Existing records marked CONFLICT</t>
  </si>
  <si>
    <t xml:space="preserve">Fact conflicts to put to the hotel</t>
  </si>
  <si>
    <t xml:space="preserve">Typed facts in existing EN answers (token candidates)</t>
  </si>
  <si>
    <t xml:space="preserve">Gaps still fully open</t>
  </si>
  <si>
    <t xml:space="preserve">Sheets</t>
  </si>
  <si>
    <t xml:space="preserve">Existing 47 – each current FAQ with proposed audience, topic, priority, action and merge group.</t>
  </si>
  <si>
    <t xml:space="preserve">Workbook 38 – what happens to each triaged FAQ.</t>
  </si>
  <si>
    <t xml:space="preserve">Conflicts – where existing answers and the chatbot disagree; these need the hotel.</t>
  </si>
  <si>
    <t xml:space="preserve">Merge groups – duplicate pairs collapsed into one 'both' record (old #anchors must keep working).</t>
  </si>
  <si>
    <t xml:space="preserve">Category map – old 17 categories → new topics. Topics (revised) – 24 topics with live counts.</t>
  </si>
  <si>
    <t xml:space="preserve">Typed facts → tokens – the hard-typed facts (73 rows across EN+DE, 36 in EN) and what they become. Gaps (updated) – gap list after the existing set is counted.</t>
  </si>
  <si>
    <t xml:space="preserve">Slug</t>
  </si>
  <si>
    <t xml:space="preserve">Context now</t>
  </si>
  <si>
    <t xml:space="preserve">Category now</t>
  </si>
  <si>
    <t xml:space="preserve">Audience (proposed)</t>
  </si>
  <si>
    <t xml:space="preserve">Topic</t>
  </si>
  <si>
    <t xml:space="preserve">Topic 2</t>
  </si>
  <si>
    <t xml:space="preserve">Priority</t>
  </si>
  <si>
    <t xml:space="preserve">Proposed action</t>
  </si>
  <si>
    <t xml:space="preserve">Merge group</t>
  </si>
  <si>
    <t xml:space="preserve">Workbook match</t>
  </si>
  <si>
    <t xml:space="preserve">Survives? (1/0)</t>
  </si>
  <si>
    <t xml:space="preserve">Typed facts (EN)</t>
  </si>
  <si>
    <t xml:space="preserve">Question (EN)</t>
  </si>
  <si>
    <t xml:space="preserve">Answer (EN)</t>
  </si>
  <si>
    <t xml:space="preserve">Notes</t>
  </si>
  <si>
    <t xml:space="preserve">check-in-time</t>
  </si>
  <si>
    <t xml:space="preserve">prospect</t>
  </si>
  <si>
    <t xml:space="preserve">general</t>
  </si>
  <si>
    <t xml:space="preserve">both</t>
  </si>
  <si>
    <t xml:space="preserve">checkin-checkout</t>
  </si>
  <si>
    <t xml:space="preserve">Survivor + diff</t>
  </si>
  <si>
    <t xml:space="preserve">G1</t>
  </si>
  <si>
    <t xml:space="preserve">F01</t>
  </si>
  <si>
    <t xml:space="preserve">What time can I check in at Hotel Berlin, Berlin?</t>
  </si>
  <si>
    <t xml:space="preserve">Check-in at Hotel Berlin, Berlin is from 15:00. Early check-in from 06:00 is available for €30 if a room is ready — or book the night before for guaranteed early access.</t>
  </si>
  <si>
    <t xml:space="preserve">Add late-arrival line from F01. Early check-in €30 from 06:00 exists only here (closes Gap G10). Absorbs guest-checkin.</t>
  </si>
  <si>
    <t xml:space="preserve">parking</t>
  </si>
  <si>
    <t xml:space="preserve">getting-here</t>
  </si>
  <si>
    <t xml:space="preserve">G2</t>
  </si>
  <si>
    <t xml:space="preserve">F06</t>
  </si>
  <si>
    <t xml:space="preserve">Is there parking at Hotel Berlin, Berlin?</t>
  </si>
  <si>
    <t xml:space="preserve">Yes. Hotel Berlin, Berlin has underground parking with over 200 spaces. €4 per hour, maximum €25 per day. EV charging is available nearby.</t>
  </si>
  <si>
    <t xml:space="preserve">Absorbs guest-parking (208 spaces, 1.80 m, access street). C5: 'underground only' vs workbook 'outdoor and underground'; 'EV nearby' vs guest-ev-charging.</t>
  </si>
  <si>
    <t xml:space="preserve">pet-policy</t>
  </si>
  <si>
    <t xml:space="preserve">pets</t>
  </si>
  <si>
    <t xml:space="preserve">G3</t>
  </si>
  <si>
    <t xml:space="preserve">F13</t>
  </si>
  <si>
    <t xml:space="preserve">Are pets allowed at Hotel Berlin, Berlin?</t>
  </si>
  <si>
    <t xml:space="preserve">Yes, pets are welcome at Hotel Berlin, Berlin. There is a charge of €30 per night. Pets are also welcome at breakfast.</t>
  </si>
  <si>
    <t xml:space="preserve">Absorbs guest-dogs. Add 'tell us in advance'. C9: 'per night' vs guest-dogs 'per day'; pets vs dogs only.</t>
  </si>
  <si>
    <t xml:space="preserve">airport-transfer</t>
  </si>
  <si>
    <t xml:space="preserve">Keep – CONFLICT</t>
  </si>
  <si>
    <t xml:space="preserve">F07</t>
  </si>
  <si>
    <t xml:space="preserve">How do I get to Hotel Berlin, Berlin from BER airport?</t>
  </si>
  <si>
    <t xml:space="preserve">Take the RE7 or RB14 to Zoologischer Garten, then Bus 100 to Lützowplatz — right outside the hotel. Around 45–55 minutes total.</t>
  </si>
  <si>
    <t xml:space="preserve">C1: RE7/RB14 + Bus 100 vs workbook RE20/FEX + 106/M46. Verify against BVG before publishing either.</t>
  </si>
  <si>
    <t xml:space="preserve">cancellation-flexible</t>
  </si>
  <si>
    <t xml:space="preserve">rooms-booking</t>
  </si>
  <si>
    <t xml:space="preserve">cancellation</t>
  </si>
  <si>
    <t xml:space="preserve">Keep</t>
  </si>
  <si>
    <t xml:space="preserve">What is the cancellation policy for a flexible rate?</t>
  </si>
  <si>
    <t xml:space="preserve">Flexible rate bookings at Hotel Berlin, Berlin can be cancelled free of charge until 18:00 on the day of arrival. A late cancellation or no-show is charged at 90% of the first night.</t>
  </si>
  <si>
    <t xml:space="preserve">Covers the flexible rate only; other rates unanswered (Gap G01 partly closed). Needs tokens for 18:00 and 90 %.</t>
  </si>
  <si>
    <t xml:space="preserve">breakfast-times</t>
  </si>
  <si>
    <t xml:space="preserve">dining</t>
  </si>
  <si>
    <t xml:space="preserve">breakfast</t>
  </si>
  <si>
    <t xml:space="preserve">Survivor + diff – CONFLICT</t>
  </si>
  <si>
    <t xml:space="preserve">G4</t>
  </si>
  <si>
    <t xml:space="preserve">F08, F09, F10</t>
  </si>
  <si>
    <t xml:space="preserve">What are the breakfast times at Hotel Berlin?</t>
  </si>
  <si>
    <t xml:space="preserve">Breakfast is served daily from 06:30 to 10:00. It is a full buffet with vegan options available.</t>
  </si>
  <si>
    <t xml:space="preserve">C6: says 'daily 06:30–10:00' while guest-breakfast says Sat/Sun to 11:00. Absorbs guest-breakfast. Claims vegan options – confirm.</t>
  </si>
  <si>
    <t xml:space="preserve">guest-checkin</t>
  </si>
  <si>
    <t xml:space="preserve">guest</t>
  </si>
  <si>
    <t xml:space="preserve">arrival-departure</t>
  </si>
  <si>
    <t xml:space="preserve">Merge into check-in-time</t>
  </si>
  <si>
    <t xml:space="preserve">What time is check-in?</t>
  </si>
  <si>
    <t xml:space="preserve">Check-in is from 15:00. If you arrive earlier, Guest Care can store your luggage until your room is ready.</t>
  </si>
  <si>
    <t xml:space="preserve">Same 15:00; luggage sentence already lives in guest-luggage.</t>
  </si>
  <si>
    <t xml:space="preserve">guest-checkout</t>
  </si>
  <si>
    <t xml:space="preserve">Keep + diff – CONFLICT</t>
  </si>
  <si>
    <t xml:space="preserve">F04, F05</t>
  </si>
  <si>
    <t xml:space="preserve">What time is check-out?</t>
  </si>
  <si>
    <t xml:space="preserve">Check-out is by 12:00. Later check-out is arranged with the lobby hosts — ask on the morning you leave.</t>
  </si>
  <si>
    <t xml:space="preserve">C3: 'ask lobby hosts on the day' vs workbook 'late check-out to 15:00 for €30, ask in advance'. Key-drop (F05) not covered.</t>
  </si>
  <si>
    <t xml:space="preserve">guest-luggage</t>
  </si>
  <si>
    <t xml:space="preserve">Keep (wins over F03)</t>
  </si>
  <si>
    <t xml:space="preserve">F03</t>
  </si>
  <si>
    <t xml:space="preserve">Where can I store luggage before check-in or after check-out?</t>
  </si>
  <si>
    <t xml:space="preserve">Luggage storage is available before check-in and after check-out. Ask at the Guest Care Center beside the lobby.</t>
  </si>
  <si>
    <t xml:space="preserve">Covers before check-in AND after check-out (closes Gap G09).</t>
  </si>
  <si>
    <t xml:space="preserve">guest-lost-and-found</t>
  </si>
  <si>
    <t xml:space="preserve">lost-property</t>
  </si>
  <si>
    <t xml:space="preserve">contact</t>
  </si>
  <si>
    <t xml:space="preserve">Keep + diff</t>
  </si>
  <si>
    <t xml:space="preserve">F34</t>
  </si>
  <si>
    <t xml:space="preserve">Where is lost property?</t>
  </si>
  <si>
    <t xml:space="preserve">Lost property is handled by the Guest Care Center beside the lobby, 24/7.</t>
  </si>
  <si>
    <t xml:space="preserve">Add the online form link once the URL is confirmed.</t>
  </si>
  <si>
    <t xml:space="preserve">guest-do-not-disturb</t>
  </si>
  <si>
    <t xml:space="preserve">in-room</t>
  </si>
  <si>
    <t xml:space="preserve">How does the do-not-disturb sign work?</t>
  </si>
  <si>
    <t xml:space="preserve">Use the do-not-disturb sign on your door. Housekeeping will skip the room until you take it down.</t>
  </si>
  <si>
    <t xml:space="preserve">guest-wifi</t>
  </si>
  <si>
    <t xml:space="preserve">wifi</t>
  </si>
  <si>
    <t xml:space="preserve">Keep (wins over F12)</t>
  </si>
  <si>
    <t xml:space="preserve">F12</t>
  </si>
  <si>
    <t xml:space="preserve">How do I connect to the hotel WiFi?</t>
  </si>
  <si>
    <t xml:space="preserve">Ask at the Guest Care Center beside the lobby for the current network details. They will get you online.</t>
  </si>
  <si>
    <t xml:space="preserve">Deliberately omits SSID/password – matches the standing 'do not publish' instruction. F12 retired; WiFi details stay HOLD.</t>
  </si>
  <si>
    <t xml:space="preserve">guest-minibar</t>
  </si>
  <si>
    <t xml:space="preserve">Is there a minibar?</t>
  </si>
  <si>
    <t xml:space="preserve">The minibar is empty on purpose — use it as your own fridge. Snacks and drinks are at Wundermart in the lobby, 24/7.</t>
  </si>
  <si>
    <t xml:space="preserve">guest-safe</t>
  </si>
  <si>
    <t xml:space="preserve">How do I use the room safe?</t>
  </si>
  <si>
    <t xml:space="preserve">Room safes are set up through the Guest Care Center beside the lobby.</t>
  </si>
  <si>
    <t xml:space="preserve">Closes Gap G14.</t>
  </si>
  <si>
    <t xml:space="preserve">guest-housekeeping</t>
  </si>
  <si>
    <t xml:space="preserve">sustainability</t>
  </si>
  <si>
    <t xml:space="preserve">F20</t>
  </si>
  <si>
    <t xml:space="preserve">How often is housekeeping?</t>
  </si>
  <si>
    <t xml:space="preserve">Housekeeping is daily. Bed linen is changed every three days.</t>
  </si>
  <si>
    <t xml:space="preserve">C2: 'daily, linen every 3 days' vs workbook 'every second day, Green Hero opt-out'.</t>
  </si>
  <si>
    <t xml:space="preserve">guest-iron</t>
  </si>
  <si>
    <t xml:space="preserve">services</t>
  </si>
  <si>
    <t xml:space="preserve">Keep (wins over F23)</t>
  </si>
  <si>
    <t xml:space="preserve">F23</t>
  </si>
  <si>
    <t xml:space="preserve">Can I get an iron?</t>
  </si>
  <si>
    <t xml:space="preserve">Yes — dial 9 from the room phone and Guest Care will bring an iron.</t>
  </si>
  <si>
    <t xml:space="preserve">'Dial 9 from the room phone' – answers the phone-number question for this FAQ.</t>
  </si>
  <si>
    <t xml:space="preserve">guest-adapter</t>
  </si>
  <si>
    <t xml:space="preserve">Keep (wins over F22)</t>
  </si>
  <si>
    <t xml:space="preserve">F22</t>
  </si>
  <si>
    <t xml:space="preserve">Where can I get a plug adapter?</t>
  </si>
  <si>
    <t xml:space="preserve">Adapters are in Wundermart in the lobby, 24/7, card payment.</t>
  </si>
  <si>
    <t xml:space="preserve">Confirms adapters at Wundermart, 24/7, card – resolves F22's [CONFIRM].</t>
  </si>
  <si>
    <t xml:space="preserve">guest-air-conditioning</t>
  </si>
  <si>
    <t xml:space="preserve">Can I adjust the air conditioning?</t>
  </si>
  <si>
    <t xml:space="preserve">Yes. The room climate can be adjusted by about ±3 °C.</t>
  </si>
  <si>
    <t xml:space="preserve">Closes Gap G05 (±3 °C).</t>
  </si>
  <si>
    <t xml:space="preserve">guest-tap-water</t>
  </si>
  <si>
    <t xml:space="preserve">Is the tap water drinkable?</t>
  </si>
  <si>
    <t xml:space="preserve">Yes. Berlin tap water is drinking water.</t>
  </si>
  <si>
    <t xml:space="preserve">guest-phone-rates</t>
  </si>
  <si>
    <t xml:space="preserve">What does the room phone cost?</t>
  </si>
  <si>
    <t xml:space="preserve">Calls in Germany are €0.40 per minute. International calls are €0.80–€3.20 per minute.</t>
  </si>
  <si>
    <t xml:space="preserve">Typed rates → tokens. Stale risk.</t>
  </si>
  <si>
    <t xml:space="preserve">guest-card-only</t>
  </si>
  <si>
    <t xml:space="preserve">money-payment</t>
  </si>
  <si>
    <t xml:space="preserve">payment</t>
  </si>
  <si>
    <t xml:space="preserve">G5</t>
  </si>
  <si>
    <t xml:space="preserve">F32</t>
  </si>
  <si>
    <t xml:space="preserve">Can I pay with cash?</t>
  </si>
  <si>
    <t xml:space="preserve">No. The hotel is card and contactless only — no cash.</t>
  </si>
  <si>
    <t xml:space="preserve">Absorbs guest-dining-card-only. Add accepted methods only once Giropay is verified.</t>
  </si>
  <si>
    <t xml:space="preserve">guest-atm</t>
  </si>
  <si>
    <t xml:space="preserve">Where is the nearest ATM?</t>
  </si>
  <si>
    <t xml:space="preserve">Commerzbank has an ATM across the street from the hotel.</t>
  </si>
  <si>
    <t xml:space="preserve">Third-party fact (Commerzbank across the street) – stale risk.</t>
  </si>
  <si>
    <t xml:space="preserve">guest-currency-exchange</t>
  </si>
  <si>
    <t xml:space="preserve">Can I change money at the hotel?</t>
  </si>
  <si>
    <t xml:space="preserve">There is no bureau de change in the hotel. The nearest is at Bahnhof Zoologischer Garten.</t>
  </si>
  <si>
    <t xml:space="preserve">Third-party fact – stale risk.</t>
  </si>
  <si>
    <t xml:space="preserve">guest-medical-on-call</t>
  </si>
  <si>
    <t xml:space="preserve">health-emergency</t>
  </si>
  <si>
    <t xml:space="preserve">health-safety</t>
  </si>
  <si>
    <t xml:space="preserve">Who do I call for a doctor out of hours?</t>
  </si>
  <si>
    <t xml:space="preserve">The on-call medical service is 116 117. For emergencies call 112.</t>
  </si>
  <si>
    <t xml:space="preserve">guest-emergency</t>
  </si>
  <si>
    <t xml:space="preserve">Survivor (review)</t>
  </si>
  <si>
    <t xml:space="preserve">G7</t>
  </si>
  <si>
    <t xml:space="preserve">What is the emergency number?</t>
  </si>
  <si>
    <t xml:space="preserve">Call 112 for fire, ambulance, or police emergency. Trained staff are in the building around the clock.</t>
  </si>
  <si>
    <t xml:space="preserve">Absorbs guest-staff-24-7 (same sentence).</t>
  </si>
  <si>
    <t xml:space="preserve">guest-gp</t>
  </si>
  <si>
    <t xml:space="preserve">Is there a GP nearby?</t>
  </si>
  <si>
    <t xml:space="preserve">There is a GP at Nollendorfplatz, about a 10-minute walk.</t>
  </si>
  <si>
    <t xml:space="preserve">guest-pharmacy-nollendorf</t>
  </si>
  <si>
    <t xml:space="preserve">G6</t>
  </si>
  <si>
    <t xml:space="preserve">Where is the nearest pharmacy?</t>
  </si>
  <si>
    <t xml:space="preserve">Quartier Apotheke Nolleturm, Nollendorfplatz 3–4. There is also a pharmacy at Wittenbergplatz, Bayreuther Straße 44.</t>
  </si>
  <si>
    <t xml:space="preserve">Absorbs the Wittenbergplatz pharmacy (already named in this answer).</t>
  </si>
  <si>
    <t xml:space="preserve">guest-pharmacy-wittenbergplatz</t>
  </si>
  <si>
    <t xml:space="preserve">Merge into guest-pharmacy-nollendorf</t>
  </si>
  <si>
    <t xml:space="preserve">Is there a pharmacy at Wittenbergplatz?</t>
  </si>
  <si>
    <t xml:space="preserve">Yes — Apotheke am Wittenbergplatz, Bayreuther Straße 44.</t>
  </si>
  <si>
    <t xml:space="preserve">guest-babysitting</t>
  </si>
  <si>
    <t xml:space="preserve">Can the hotel arrange babysitting?</t>
  </si>
  <si>
    <t xml:space="preserve">Yes. Guest Care can book a babysitting agency for you.</t>
  </si>
  <si>
    <t xml:space="preserve">Partly answers Gap G03 (children).</t>
  </si>
  <si>
    <t xml:space="preserve">guest-staff-24-7</t>
  </si>
  <si>
    <t xml:space="preserve">Merge into guest-emergency</t>
  </si>
  <si>
    <t xml:space="preserve">Is there staff in the building at night?</t>
  </si>
  <si>
    <t xml:space="preserve">Yes. Trained staff are in the hotel around the clock.</t>
  </si>
  <si>
    <t xml:space="preserve">guest-parking</t>
  </si>
  <si>
    <t xml:space="preserve">getting-around</t>
  </si>
  <si>
    <t xml:space="preserve">Merge into parking</t>
  </si>
  <si>
    <t xml:space="preserve">How does parking work?</t>
  </si>
  <si>
    <t xml:space="preserve">The underground garage has 208 spaces, €4 per hour, max €25 per day. Entry height is 1.80 m. Access is from Karl-Heinrich-Ulrichs-Straße.</t>
  </si>
  <si>
    <t xml:space="preserve">guest-ev-charging</t>
  </si>
  <si>
    <t xml:space="preserve">Is there EV charging?</t>
  </si>
  <si>
    <t xml:space="preserve">Yes. 8 AC points, up to 22 kW, Type 2.</t>
  </si>
  <si>
    <t xml:space="preserve">Closes Gap G13. Conflicts with prospect 'EV charging nearby' (C5).</t>
  </si>
  <si>
    <t xml:space="preserve">guest-bike-garage</t>
  </si>
  <si>
    <t xml:space="preserve">bikes</t>
  </si>
  <si>
    <t xml:space="preserve">Keep (wins over F30)</t>
  </si>
  <si>
    <t xml:space="preserve">F30, F31</t>
  </si>
  <si>
    <t xml:space="preserve">Can I store a bike?</t>
  </si>
  <si>
    <t xml:space="preserve">Yes. There is a bike garage with e-bike charging.</t>
  </si>
  <si>
    <t xml:space="preserve">Includes e-bike charging. Bike rental (F31) is not covered.</t>
  </si>
  <si>
    <t xml:space="preserve">guest-car-rental</t>
  </si>
  <si>
    <t xml:space="preserve">Where can I rent a car?</t>
  </si>
  <si>
    <t xml:space="preserve">StarCar is at Schillstraße 9, about a minute away. Avis, Hertz and Europcar are at Tauentzienstraße 9–11, about 10 minutes.</t>
  </si>
  <si>
    <t xml:space="preserve">guest-taxi</t>
  </si>
  <si>
    <t xml:space="preserve">How do I get a taxi?</t>
  </si>
  <si>
    <t xml:space="preserve">Ask the Guest Care Center beside the lobby to call one. There is a rank at Lützowplatz.</t>
  </si>
  <si>
    <t xml:space="preserve">guest-jogging</t>
  </si>
  <si>
    <t xml:space="preserve">wellness</t>
  </si>
  <si>
    <t xml:space="preserve">Where can I go for a run?</t>
  </si>
  <si>
    <t xml:space="preserve">Tiergarten is the closest loop. Guest Care can point you to the canal paths as well.</t>
  </si>
  <si>
    <t xml:space="preserve">guest-dogs</t>
  </si>
  <si>
    <t xml:space="preserve">house-rules</t>
  </si>
  <si>
    <t xml:space="preserve">Merge into pet-policy</t>
  </si>
  <si>
    <t xml:space="preserve">Are dogs allowed?</t>
  </si>
  <si>
    <t xml:space="preserve">Yes. Dogs are €30 per day.</t>
  </si>
  <si>
    <t xml:space="preserve">guest-nonsmoking</t>
  </si>
  <si>
    <t xml:space="preserve">Can I smoke in the hotel?</t>
  </si>
  <si>
    <t xml:space="preserve">No. This is a non-smoking hotel. Smoking in the room incurs a €250 cleaning fee.</t>
  </si>
  <si>
    <t xml:space="preserve">Closes Gap G06. €250 fee → token.</t>
  </si>
  <si>
    <t xml:space="preserve">guest-gym</t>
  </si>
  <si>
    <t xml:space="preserve">Keep (wins over F28)</t>
  </si>
  <si>
    <t xml:space="preserve">F28</t>
  </si>
  <si>
    <t xml:space="preserve">When is the gym open?</t>
  </si>
  <si>
    <t xml:space="preserve">The gym is open 24/7 for hotel guests.</t>
  </si>
  <si>
    <t xml:space="preserve">guest-sauna</t>
  </si>
  <si>
    <t xml:space="preserve">F26, F27</t>
  </si>
  <si>
    <t xml:space="preserve">How do I use the sauna?</t>
  </si>
  <si>
    <t xml:space="preserve">The sauna is on request, with 45 minutes’ notice. Ask Guest Care to book a slot.</t>
  </si>
  <si>
    <t xml:space="preserve">C8: existing = on request, 45 min notice, no clock hours; workbook F26 = daily 18:00–23:00. Hours stay HOLD.</t>
  </si>
  <si>
    <t xml:space="preserve">guest-business-center</t>
  </si>
  <si>
    <t xml:space="preserve">F25</t>
  </si>
  <si>
    <t xml:space="preserve">Where is the business center?</t>
  </si>
  <si>
    <t xml:space="preserve">The business center is in the lobby.</t>
  </si>
  <si>
    <t xml:space="preserve">Possibly the real answer to 'can you print this' (F25) – confirm with hotel.</t>
  </si>
  <si>
    <t xml:space="preserve">guest-care-center</t>
  </si>
  <si>
    <t xml:space="preserve">F36</t>
  </si>
  <si>
    <t xml:space="preserve">Where is Guest Care?</t>
  </si>
  <si>
    <t xml:space="preserve">The Guest Care Center is beside the lobby and open 24/7.</t>
  </si>
  <si>
    <t xml:space="preserve">Establishes Guest Care Center as the contact point (see C7).</t>
  </si>
  <si>
    <t xml:space="preserve">guest-room-service</t>
  </si>
  <si>
    <t xml:space="preserve">F11</t>
  </si>
  <si>
    <t xml:space="preserve">Is there room service?</t>
  </si>
  <si>
    <t xml:space="preserve">No room service — collect food and drinks at the bar.</t>
  </si>
  <si>
    <t xml:space="preserve">C4: 'collect at the bar' vs workbook 'delivery recommendations / pick up from restaurant'.</t>
  </si>
  <si>
    <t xml:space="preserve">guest-breakfast</t>
  </si>
  <si>
    <t xml:space="preserve">Merge into breakfast-times</t>
  </si>
  <si>
    <t xml:space="preserve">F08, F10</t>
  </si>
  <si>
    <t xml:space="preserve">When is breakfast, and what does it cost?</t>
  </si>
  <si>
    <t xml:space="preserve">Breakfast is 06:30–10:00, Saturday and Sunday until 11:00. €23 for adults, €12 from age 6.</t>
  </si>
  <si>
    <t xml:space="preserve">Has the weekend time and prices (€23 / €12 from 6).</t>
  </si>
  <si>
    <t xml:space="preserve">guest-lutze-hours</t>
  </si>
  <si>
    <t xml:space="preserve">Keep – make computed</t>
  </si>
  <si>
    <t xml:space="preserve">When is Lütze open?</t>
  </si>
  <si>
    <t xml:space="preserve">Lütze is open 10:00–01:00.</t>
  </si>
  <si>
    <t xml:space="preserve">Hours should come from venues + venue-time, not typed text (Gap G17).</t>
  </si>
  <si>
    <t xml:space="preserve">guest-wundermart</t>
  </si>
  <si>
    <t xml:space="preserve">When is Wundermart open?</t>
  </si>
  <si>
    <t xml:space="preserve">Wundermart is 24/7 in the lobby. Card payment only.</t>
  </si>
  <si>
    <t xml:space="preserve">guest-dining-card-only</t>
  </si>
  <si>
    <t xml:space="preserve">Merge into guest-card-only</t>
  </si>
  <si>
    <t xml:space="preserve">Can I pay cash at Lütze or breakfast?</t>
  </si>
  <si>
    <t xml:space="preserve">No. Food and drink in the hotel is card only — no cash.</t>
  </si>
  <si>
    <t xml:space="preserve">ID</t>
  </si>
  <si>
    <t xml:space="preserve">Disposition</t>
  </si>
  <si>
    <t xml:space="preserve">Existing slug(s)</t>
  </si>
  <si>
    <t xml:space="preserve">What to take from the workbook version</t>
  </si>
  <si>
    <t xml:space="preserve">Conflict</t>
  </si>
  <si>
    <t xml:space="preserve">Status after reconcile</t>
  </si>
  <si>
    <t xml:space="preserve">What time can I check in, and what if I arrive late?</t>
  </si>
  <si>
    <t xml:space="preserve">Merge into existing</t>
  </si>
  <si>
    <t xml:space="preserve">check-in-time, guest-checkin</t>
  </si>
  <si>
    <t xml:space="preserve">Late-arrival wording; check Guest Care vs 'reception'</t>
  </si>
  <si>
    <t xml:space="preserve">C7</t>
  </si>
  <si>
    <t xml:space="preserve">Ready</t>
  </si>
  <si>
    <t xml:space="preserve">F02</t>
  </si>
  <si>
    <t xml:space="preserve">Can I check in online?</t>
  </si>
  <si>
    <t xml:space="preserve">Net new</t>
  </si>
  <si>
    <t xml:space="preserve">Needs confirm</t>
  </si>
  <si>
    <t xml:space="preserve">Can I leave my luggage before check-in?</t>
  </si>
  <si>
    <t xml:space="preserve">Existing wins – retire workbook version</t>
  </si>
  <si>
    <t xml:space="preserve">Nothing – existing also covers after check-out</t>
  </si>
  <si>
    <t xml:space="preserve">Retired</t>
  </si>
  <si>
    <t xml:space="preserve">F04</t>
  </si>
  <si>
    <t xml:space="preserve">What time is check-out, and can I stay longer?</t>
  </si>
  <si>
    <t xml:space="preserve">Late check-out terms, if the hotel confirms them</t>
  </si>
  <si>
    <t xml:space="preserve">C3</t>
  </si>
  <si>
    <t xml:space="preserve">HOLD</t>
  </si>
  <si>
    <t xml:space="preserve">F05</t>
  </si>
  <si>
    <t xml:space="preserve">Do I need to leave my key in the room at check-out?</t>
  </si>
  <si>
    <t xml:space="preserve">Check-out terminals / key box</t>
  </si>
  <si>
    <t xml:space="preserve">Can I reserve parking, and how much does it cost?</t>
  </si>
  <si>
    <t xml:space="preserve">parking, guest-parking</t>
  </si>
  <si>
    <t xml:space="preserve">'No reservation needed'; outdoor vs underground</t>
  </si>
  <si>
    <t xml:space="preserve">C5</t>
  </si>
  <si>
    <t xml:space="preserve">Do you offer an airport transfer, and how do I get to the hotel from the airport?</t>
  </si>
  <si>
    <t xml:space="preserve">Alternative route, only if BVG confirms</t>
  </si>
  <si>
    <t xml:space="preserve">C1</t>
  </si>
  <si>
    <t xml:space="preserve">F08</t>
  </si>
  <si>
    <t xml:space="preserve">When is breakfast served?</t>
  </si>
  <si>
    <t xml:space="preserve">breakfast-times, guest-breakfast</t>
  </si>
  <si>
    <t xml:space="preserve">Weekday vs weekend + holiday split</t>
  </si>
  <si>
    <t xml:space="preserve">C6</t>
  </si>
  <si>
    <t xml:space="preserve">F09</t>
  </si>
  <si>
    <t xml:space="preserve">Where is the breakfast restaurant?</t>
  </si>
  <si>
    <t xml:space="preserve">F10</t>
  </si>
  <si>
    <t xml:space="preserve">Can I book breakfast after I've booked my room, and what does it cost?</t>
  </si>
  <si>
    <t xml:space="preserve">'Can be added later' wording; child price 11.50 vs 12</t>
  </si>
  <si>
    <t xml:space="preserve">Do you have room service?</t>
  </si>
  <si>
    <t xml:space="preserve">Delivery recommendations – if confirmed</t>
  </si>
  <si>
    <t xml:space="preserve">C4</t>
  </si>
  <si>
    <t xml:space="preserve">How do I connect to the WiFi?</t>
  </si>
  <si>
    <t xml:space="preserve">Nothing – SSID stays unpublished</t>
  </si>
  <si>
    <t xml:space="preserve">Can I bring my dog?</t>
  </si>
  <si>
    <t xml:space="preserve">pet-policy, guest-dogs</t>
  </si>
  <si>
    <t xml:space="preserve">Advance-notice line; other pets?</t>
  </si>
  <si>
    <t xml:space="preserve">C9</t>
  </si>
  <si>
    <t xml:space="preserve">F14</t>
  </si>
  <si>
    <t xml:space="preserve">rooms</t>
  </si>
  <si>
    <t xml:space="preserve">Can I request a quiet room?</t>
  </si>
  <si>
    <t xml:space="preserve">F15</t>
  </si>
  <si>
    <t xml:space="preserve">Do any rooms have a balcony?</t>
  </si>
  <si>
    <t xml:space="preserve">F16</t>
  </si>
  <si>
    <t xml:space="preserve">Which are the largest rooms?</t>
  </si>
  <si>
    <t xml:space="preserve">F17</t>
  </si>
  <si>
    <t xml:space="preserve">How do I find my room?</t>
  </si>
  <si>
    <t xml:space="preserve">F18</t>
  </si>
  <si>
    <t xml:space="preserve">Do I need my key card to use the lifts?</t>
  </si>
  <si>
    <t xml:space="preserve">F19</t>
  </si>
  <si>
    <t xml:space="preserve">Is there a Nespresso machine in the room?</t>
  </si>
  <si>
    <t xml:space="preserve">Is my room cleaned every day?</t>
  </si>
  <si>
    <t xml:space="preserve">Green Hero opt-out, if confirmed</t>
  </si>
  <si>
    <t xml:space="preserve">C2</t>
  </si>
  <si>
    <t xml:space="preserve">F21</t>
  </si>
  <si>
    <t xml:space="preserve">Can I connect my own streaming stick (e.g. Amazon Fire TV) to the TV?</t>
  </si>
  <si>
    <t xml:space="preserve">Where can I get a power adapter?</t>
  </si>
  <si>
    <t xml:space="preserve">Nothing</t>
  </si>
  <si>
    <t xml:space="preserve">Can I borrow an iron or an ironing board?</t>
  </si>
  <si>
    <t xml:space="preserve">Nothing – 'dial 9' answers it</t>
  </si>
  <si>
    <t xml:space="preserve">F24</t>
  </si>
  <si>
    <t xml:space="preserve">Do you offer a laundry service?</t>
  </si>
  <si>
    <t xml:space="preserve">Can you print a document for me?</t>
  </si>
  <si>
    <t xml:space="preserve">guest-business-center (?)</t>
  </si>
  <si>
    <t xml:space="preserve">Check whether the business center is the printing answer</t>
  </si>
  <si>
    <t xml:space="preserve">F26</t>
  </si>
  <si>
    <t xml:space="preserve">What are the sauna opening hours?</t>
  </si>
  <si>
    <t xml:space="preserve">Nothing – hours stay HOLD</t>
  </si>
  <si>
    <t xml:space="preserve">C8</t>
  </si>
  <si>
    <t xml:space="preserve">F27</t>
  </si>
  <si>
    <t xml:space="preserve">Is the sauna clothing-free?</t>
  </si>
  <si>
    <t xml:space="preserve">guest-sauna (related)</t>
  </si>
  <si>
    <t xml:space="preserve">Who can use the gym?</t>
  </si>
  <si>
    <t xml:space="preserve">F29</t>
  </si>
  <si>
    <t xml:space="preserve">activities</t>
  </si>
  <si>
    <t xml:space="preserve">Is there still a fingerboard park?</t>
  </si>
  <si>
    <t xml:space="preserve">F30</t>
  </si>
  <si>
    <t xml:space="preserve">Can I store my own bike at the hotel?</t>
  </si>
  <si>
    <t xml:space="preserve">F31</t>
  </si>
  <si>
    <t xml:space="preserve">Can I rent a bike?</t>
  </si>
  <si>
    <t xml:space="preserve">guest-bike-garage (related)</t>
  </si>
  <si>
    <t xml:space="preserve">Can I pay without a credit card?</t>
  </si>
  <si>
    <t xml:space="preserve">Accepted payment methods, after Giropay check</t>
  </si>
  <si>
    <t xml:space="preserve">F33</t>
  </si>
  <si>
    <t xml:space="preserve">loyalty</t>
  </si>
  <si>
    <t xml:space="preserve">Do you have a loyalty programme?</t>
  </si>
  <si>
    <t xml:space="preserve">I lost something at the hotel. What should I do?</t>
  </si>
  <si>
    <t xml:space="preserve">Online form link</t>
  </si>
  <si>
    <t xml:space="preserve">F35</t>
  </si>
  <si>
    <t xml:space="preserve">meetings</t>
  </si>
  <si>
    <t xml:space="preserve">How do I book a meeting room?</t>
  </si>
  <si>
    <t xml:space="preserve">How can I contact the hotel?</t>
  </si>
  <si>
    <t xml:space="preserve">guest-care-center (related)</t>
  </si>
  <si>
    <t xml:space="preserve">F37</t>
  </si>
  <si>
    <t xml:space="preserve">How do I change a prepayment invoice?</t>
  </si>
  <si>
    <t xml:space="preserve">F38</t>
  </si>
  <si>
    <t xml:space="preserve">Who is the contact for sustainability?</t>
  </si>
  <si>
    <t xml:space="preserve">Existing records</t>
  </si>
  <si>
    <t xml:space="preserve">Existing says</t>
  </si>
  <si>
    <t xml:space="preserve">Chatbot / workbook says</t>
  </si>
  <si>
    <t xml:space="preserve">Default trust</t>
  </si>
  <si>
    <t xml:space="preserve">Question for the hotel</t>
  </si>
  <si>
    <t xml:space="preserve">Affects</t>
  </si>
  <si>
    <t xml:space="preserve">Airport route</t>
  </si>
  <si>
    <t xml:space="preserve">RE7 or RB14 to Zoologischer Garten, then Bus 100 to Lützowplatz (45–55 min).</t>
  </si>
  <si>
    <t xml:space="preserve">F07: RE20 or FEX to Südkreuz, then Bus 106 to Lützowplatz; or M46 to Schillstraße.</t>
  </si>
  <si>
    <t xml:space="preserve">Existing (written, specific) – but check both against current BVG/VBB.</t>
  </si>
  <si>
    <t xml:space="preserve">Which route do you actually send BER guests on?</t>
  </si>
  <si>
    <t xml:space="preserve">F07, airport-transfer</t>
  </si>
  <si>
    <t xml:space="preserve">Housekeeping frequency</t>
  </si>
  <si>
    <t xml:space="preserve">Housekeeping is daily; bed linen changed every 3 days.</t>
  </si>
  <si>
    <t xml:space="preserve">F20: room cleaned every second day; Green Hero opt-out.</t>
  </si>
  <si>
    <t xml:space="preserve">Existing.</t>
  </si>
  <si>
    <t xml:space="preserve">What is the real cleaning schedule, and does the Green Hero programme exist?</t>
  </si>
  <si>
    <t xml:space="preserve">F20, sustainability FAQs</t>
  </si>
  <si>
    <t xml:space="preserve">Late check-out / early check-in</t>
  </si>
  <si>
    <t xml:space="preserve">guest-checkout, check-in-time</t>
  </si>
  <si>
    <t xml:space="preserve">Later check-out arranged with the lobby hosts on the morning. Early check-in from 06:00 for €30 if a room is ready.</t>
  </si>
  <si>
    <t xml:space="preserve">F04: late check-out to 15:00 for €30, subject to availability, ask in advance.</t>
  </si>
  <si>
    <t xml:space="preserve">Existing – but ask whether the €30 / 15:00 late check-out is real.</t>
  </si>
  <si>
    <t xml:space="preserve">Is there a fixed late check-out fee and cut-off? Is early check-in €30 from 06:00 still current?</t>
  </si>
  <si>
    <t xml:space="preserve">Room service</t>
  </si>
  <si>
    <t xml:space="preserve">No room service – collect food and drinks at the bar.</t>
  </si>
  <si>
    <t xml:space="preserve">F11: no room service; reception recommends delivery services; guests may take breakfast/dinner from the restaurant to the room.</t>
  </si>
  <si>
    <t xml:space="preserve">Can guests take restaurant food up to the room? Does reception recommend delivery services?</t>
  </si>
  <si>
    <t xml:space="preserve">Parking details</t>
  </si>
  <si>
    <t xml:space="preserve">parking, guest-parking, guest-ev-charging</t>
  </si>
  <si>
    <t xml:space="preserve">Underground garage only; 'over 200' (prospect) vs 208 (guest); entry 1.80 m; access via Karl-Heinrich-Ulrichs-Straße; prospect says 'EV charging available nearby', guest says 8 AC points, up to 22 kW, Type 2.</t>
  </si>
  <si>
    <t xml:space="preserve">F06: 208 spaces, outdoor and underground, no reservation, max height 1.80 m.</t>
  </si>
  <si>
    <t xml:space="preserve">Existing guest version.</t>
  </si>
  <si>
    <t xml:space="preserve">Are there outdoor spaces? Is EV charging on site (8 points) or nearby?</t>
  </si>
  <si>
    <t xml:space="preserve">Breakfast</t>
  </si>
  <si>
    <t xml:space="preserve">Prospect: daily 06:30–10:00, vegan options. Guest: 06:30–10:00, Sat/Sun to 11:00; €23 adults, €12 from age 6.</t>
  </si>
  <si>
    <t xml:space="preserve">F08/F10: Mon–Fri to 10:00; weekends AND public holidays to 11:00; €23; children 6+ €11.50.</t>
  </si>
  <si>
    <t xml:space="preserve">Mixed – the existing records disagree with each other.</t>
  </si>
  <si>
    <t xml:space="preserve">Weekend/holiday times? Child price €12 or €11.50? Vegan options claim?</t>
  </si>
  <si>
    <t xml:space="preserve">'Guest Care Center' vs 'reception'</t>
  </si>
  <si>
    <t xml:space="preserve">all guest FAQs</t>
  </si>
  <si>
    <t xml:space="preserve">Existing answers send people to the Guest Care Center beside the lobby (and to 'lobby hosts'); room phone: dial 9.</t>
  </si>
  <si>
    <t xml:space="preserve">Chatbot answers say 'reception' / 'reception team' throughout.</t>
  </si>
  <si>
    <t xml:space="preserve">Existing – it matches how the hotel names its own service.</t>
  </si>
  <si>
    <t xml:space="preserve">What do you call the desk: Guest Care Center, reception, lobby hosts? One word site-wide.</t>
  </si>
  <si>
    <t xml:space="preserve">F01, F02, F04, F05, F13, F23, F25, F36</t>
  </si>
  <si>
    <t xml:space="preserve">Sauna</t>
  </si>
  <si>
    <t xml:space="preserve">On request, 45 minutes' notice; book a slot via Guest Care. No clock hours.</t>
  </si>
  <si>
    <t xml:space="preserve">F26: daily 18:00–23:00, on request June–August; notice 45 minutes.</t>
  </si>
  <si>
    <t xml:space="preserve">Existing – and this is the known conflict (launch checklist 3.13).</t>
  </si>
  <si>
    <t xml:space="preserve">Which schedule is true?</t>
  </si>
  <si>
    <t xml:space="preserve">Pets vs dogs; per night vs per day</t>
  </si>
  <si>
    <t xml:space="preserve">Prospect: pets welcome, €30 per night, welcome at breakfast. Guest: dogs €30 per day.</t>
  </si>
  <si>
    <t xml:space="preserve">F13: dogs welcome, €30 per night, tell us in advance; 'pets such as dogs'.</t>
  </si>
  <si>
    <t xml:space="preserve">Existing, with 'per night'.</t>
  </si>
  <si>
    <t xml:space="preserve">Are other pets allowed? Per night or per day?</t>
  </si>
  <si>
    <t xml:space="preserve">F13, G16</t>
  </si>
  <si>
    <t xml:space="preserve">Group</t>
  </si>
  <si>
    <t xml:space="preserve">Survivor slug</t>
  </si>
  <si>
    <t xml:space="preserve">Absorbed slug</t>
  </si>
  <si>
    <t xml:space="preserve">Audience after</t>
  </si>
  <si>
    <t xml:space="preserve">Alias needed?</t>
  </si>
  <si>
    <t xml:space="preserve">Yes – keep the old `#slug` anchor working</t>
  </si>
  <si>
    <t xml:space="preserve">Old category</t>
  </si>
  <si>
    <t xml:space="preserve">New topic(s)</t>
  </si>
  <si>
    <t xml:space="preserve">Existing records using it</t>
  </si>
  <si>
    <t xml:space="preserve">Note</t>
  </si>
  <si>
    <t xml:space="preserve">Prospect. 1 record (cancellation-flexible) goes to `cancellation` instead.</t>
  </si>
  <si>
    <t xml:space="preserve">Prospect. No records yet.</t>
  </si>
  <si>
    <t xml:space="preserve">Used by BOTH audiences in the data (guest A–Z reuses it). Breakfast records → `breakfast`.</t>
  </si>
  <si>
    <t xml:space="preserve">accessibility</t>
  </si>
  <si>
    <t xml:space="preserve">NEW topic. No records yet.</t>
  </si>
  <si>
    <t xml:space="preserve">Prospect. No records yet (airport-transfer sits in `general`).</t>
  </si>
  <si>
    <t xml:space="preserve">pets-parking</t>
  </si>
  <si>
    <t xml:space="preserve">pets  /  parking</t>
  </si>
  <si>
    <t xml:space="preserve">Split into two topics. No records use it.</t>
  </si>
  <si>
    <t xml:space="preserve">by record</t>
  </si>
  <si>
    <t xml:space="preserve">Catch-all: check-in-time→checkin-checkout, parking→parking, pet-policy→pets, airport-transfer→getting-here.</t>
  </si>
  <si>
    <t xml:space="preserve">wifi-tech</t>
  </si>
  <si>
    <t xml:space="preserve">Guest. No records use it (guest-wifi is `in-room`).</t>
  </si>
  <si>
    <t xml:space="preserve">guest-services</t>
  </si>
  <si>
    <t xml:space="preserve">Guest. No records use it.</t>
  </si>
  <si>
    <t xml:space="preserve">neighbourhood-guest</t>
  </si>
  <si>
    <t xml:space="preserve">getting-around  /  health-safety</t>
  </si>
  <si>
    <t xml:space="preserve">Guest. No records use it; neighbourhood items are spread across new topics.</t>
  </si>
  <si>
    <t xml:space="preserve">Lost property → `lost-property`; do-not-disturb → `in-room`.</t>
  </si>
  <si>
    <t xml:space="preserve">Iron and adapter get `services` as primary, in-room as secondary.</t>
  </si>
  <si>
    <t xml:space="preserve">ATM and currency exchange stay here.</t>
  </si>
  <si>
    <t xml:space="preserve">NEW topic. Babysitting → `services`.</t>
  </si>
  <si>
    <t xml:space="preserve">parking  /  bikes  /  getting-around</t>
  </si>
  <si>
    <t xml:space="preserve">Parking + EV → parking; bike garage → bikes; taxi, car rental, jogging → NEW `getting-around`.</t>
  </si>
  <si>
    <t xml:space="preserve">Dogs → pets; non-smoking → NEW `house-rules`; gym/sauna → wellness; business center → services; Guest Care → contact; room service → dining.</t>
  </si>
  <si>
    <t xml:space="preserve">Topic slug</t>
  </si>
  <si>
    <t xml:space="preserve">Label (EN)</t>
  </si>
  <si>
    <t xml:space="preserve">Label (DE)</t>
  </si>
  <si>
    <t xml:space="preserve">Covers</t>
  </si>
  <si>
    <t xml:space="preserve">Existing (surviving)</t>
  </si>
  <si>
    <t xml:space="preserve">Workbook net new</t>
  </si>
  <si>
    <t xml:space="preserve">FAQs touching this topic (primary + secondary)</t>
  </si>
  <si>
    <t xml:space="preserve">Check-in &amp; check-out</t>
  </si>
  <si>
    <t xml:space="preserve">Check-in &amp; Check-out</t>
  </si>
  <si>
    <t xml:space="preserve">Times, online check-in, luggage, late check-out</t>
  </si>
  <si>
    <t xml:space="preserve">Getting here</t>
  </si>
  <si>
    <t xml:space="preserve">Anreise</t>
  </si>
  <si>
    <t xml:space="preserve">Airport, trains, public transport</t>
  </si>
  <si>
    <t xml:space="preserve">Parking</t>
  </si>
  <si>
    <t xml:space="preserve">Parken</t>
  </si>
  <si>
    <t xml:space="preserve">Spaces, prices, height limits</t>
  </si>
  <si>
    <t xml:space="preserve">Frühstück</t>
  </si>
  <si>
    <t xml:space="preserve">Times, location, price</t>
  </si>
  <si>
    <t xml:space="preserve">Eating &amp; drinking</t>
  </si>
  <si>
    <t xml:space="preserve">Essen &amp; Trinken</t>
  </si>
  <si>
    <t xml:space="preserve">Restaurant, bar, room service</t>
  </si>
  <si>
    <t xml:space="preserve">Rooms</t>
  </si>
  <si>
    <t xml:space="preserve">Zimmer</t>
  </si>
  <si>
    <t xml:space="preserve">Room types, views, balconies, sizes</t>
  </si>
  <si>
    <t xml:space="preserve">In your room</t>
  </si>
  <si>
    <t xml:space="preserve">Im Zimmer</t>
  </si>
  <si>
    <t xml:space="preserve">Equipment and housekeeping</t>
  </si>
  <si>
    <t xml:space="preserve">WiFi</t>
  </si>
  <si>
    <t xml:space="preserve">WLAN</t>
  </si>
  <si>
    <t xml:space="preserve">Connecting and terms</t>
  </si>
  <si>
    <t xml:space="preserve">Sauna &amp; fitness</t>
  </si>
  <si>
    <t xml:space="preserve">Sauna &amp; Fitness</t>
  </si>
  <si>
    <t xml:space="preserve">Sauna, gym</t>
  </si>
  <si>
    <t xml:space="preserve">Activities</t>
  </si>
  <si>
    <t xml:space="preserve">Freizeit</t>
  </si>
  <si>
    <t xml:space="preserve">Fingerboard park and other on-site activities</t>
  </si>
  <si>
    <t xml:space="preserve">Services</t>
  </si>
  <si>
    <t xml:space="preserve">Laundry, printing, iron, adapters</t>
  </si>
  <si>
    <t xml:space="preserve">Bikes</t>
  </si>
  <si>
    <t xml:space="preserve">Fahrrad</t>
  </si>
  <si>
    <t xml:space="preserve">Storage and rental</t>
  </si>
  <si>
    <t xml:space="preserve">Pets</t>
  </si>
  <si>
    <t xml:space="preserve">Haustiere</t>
  </si>
  <si>
    <t xml:space="preserve">Dogs and other animals</t>
  </si>
  <si>
    <t xml:space="preserve">Payment</t>
  </si>
  <si>
    <t xml:space="preserve">Zahlung</t>
  </si>
  <si>
    <t xml:space="preserve">Cards, cashless, invoices</t>
  </si>
  <si>
    <t xml:space="preserve">Loyalty programme</t>
  </si>
  <si>
    <t xml:space="preserve">Bonusprogramm</t>
  </si>
  <si>
    <t xml:space="preserve">Radisson Rewards</t>
  </si>
  <si>
    <t xml:space="preserve">Sustainability</t>
  </si>
  <si>
    <t xml:space="preserve">Nachhaltigkeit</t>
  </si>
  <si>
    <t xml:space="preserve">Green Hero, contact</t>
  </si>
  <si>
    <t xml:space="preserve">Meetings</t>
  </si>
  <si>
    <t xml:space="preserve">Tagungen</t>
  </si>
  <si>
    <t xml:space="preserve">Booking meeting rooms</t>
  </si>
  <si>
    <t xml:space="preserve">Contact</t>
  </si>
  <si>
    <t xml:space="preserve">Kontakt</t>
  </si>
  <si>
    <t xml:space="preserve">Phone, email, address</t>
  </si>
  <si>
    <t xml:space="preserve">Lost property</t>
  </si>
  <si>
    <t xml:space="preserve">Fundsachen</t>
  </si>
  <si>
    <t xml:space="preserve">Lost and found</t>
  </si>
  <si>
    <t xml:space="preserve">Cancellation</t>
  </si>
  <si>
    <t xml:space="preserve">Stornierung</t>
  </si>
  <si>
    <t xml:space="preserve">No FAQs yet – see Gaps</t>
  </si>
  <si>
    <t xml:space="preserve">Accessibility</t>
  </si>
  <si>
    <t xml:space="preserve">Barrierefreiheit</t>
  </si>
  <si>
    <t xml:space="preserve">Step-free access, accessible rooms (workbook gap G02; old category existed)</t>
  </si>
  <si>
    <t xml:space="preserve">Health &amp; safety</t>
  </si>
  <si>
    <t xml:space="preserve">Gesundheit &amp; Sicherheit</t>
  </si>
  <si>
    <t xml:space="preserve">Doctors, pharmacies, emergency numbers, staff presence</t>
  </si>
  <si>
    <t xml:space="preserve">Getting around</t>
  </si>
  <si>
    <t xml:space="preserve">Unterwegs</t>
  </si>
  <si>
    <t xml:space="preserve">Taxi, car rental, jogging routes</t>
  </si>
  <si>
    <t xml:space="preserve">House rules</t>
  </si>
  <si>
    <t xml:space="preserve">Hausregeln</t>
  </si>
  <si>
    <t xml:space="preserve">Non-smoking policy and similar</t>
  </si>
  <si>
    <t xml:space="preserve">Fact in existing answers</t>
  </si>
  <si>
    <t xml:space="preserve">Where</t>
  </si>
  <si>
    <t xml:space="preserve">Proposed token</t>
  </si>
  <si>
    <t xml:space="preserve">In workbook Tokens sheet?</t>
  </si>
  <si>
    <t xml:space="preserve">15:00 check-in</t>
  </si>
  <si>
    <t xml:space="preserve">{{checkinTime}}</t>
  </si>
  <si>
    <t xml:space="preserve">Yes</t>
  </si>
  <si>
    <t xml:space="preserve">06:00 early check-in</t>
  </si>
  <si>
    <t xml:space="preserve">{{earlyCheckinFrom}}</t>
  </si>
  <si>
    <t xml:space="preserve">NEW</t>
  </si>
  <si>
    <t xml:space="preserve">€30 early check-in</t>
  </si>
  <si>
    <t xml:space="preserve">{{earlyCheckinFee}}</t>
  </si>
  <si>
    <t xml:space="preserve">Separate from {{lateCheckoutFee}}.</t>
  </si>
  <si>
    <t xml:space="preserve">12:00 check-out</t>
  </si>
  <si>
    <t xml:space="preserve">{{checkoutTime}}</t>
  </si>
  <si>
    <t xml:space="preserve">€4/hour, €25/day</t>
  </si>
  <si>
    <t xml:space="preserve">{{parkingHourly}}, {{parkingDaily}}</t>
  </si>
  <si>
    <t xml:space="preserve">Three records carry these today.</t>
  </si>
  <si>
    <t xml:space="preserve">208 spaces, 1.80 m</t>
  </si>
  <si>
    <t xml:space="preserve">{{parkingSpaces}}, {{parkingMaxHeight}}</t>
  </si>
  <si>
    <t xml:space="preserve">Prospect record says 'over 200'.</t>
  </si>
  <si>
    <t xml:space="preserve">06:30–10:00 breakfast</t>
  </si>
  <si>
    <t xml:space="preserve">{{breakfastWeekday}}</t>
  </si>
  <si>
    <t xml:space="preserve">Sat/Sun to 11:00</t>
  </si>
  <si>
    <t xml:space="preserve">{{breakfastWeekend}}</t>
  </si>
  <si>
    <t xml:space="preserve">Chatbot adds public holidays – C6.</t>
  </si>
  <si>
    <t xml:space="preserve">€23 / €12 breakfast</t>
  </si>
  <si>
    <t xml:space="preserve">{{breakfastPrice}}, {{breakfastPriceChild}}</t>
  </si>
  <si>
    <t xml:space="preserve">€12 vs €11.50 – C6.</t>
  </si>
  <si>
    <t xml:space="preserve">€30 pets</t>
  </si>
  <si>
    <t xml:space="preserve">{{petFee}}</t>
  </si>
  <si>
    <t xml:space="preserve">'per night' vs 'per day' – C9.</t>
  </si>
  <si>
    <t xml:space="preserve">45 minutes sauna notice</t>
  </si>
  <si>
    <t xml:space="preserve">{{saunaNotice}}</t>
  </si>
  <si>
    <t xml:space="preserve">Typed as words, so the scan missed it.</t>
  </si>
  <si>
    <t xml:space="preserve">18:00 cancellation + 90 % no-show</t>
  </si>
  <si>
    <t xml:space="preserve">{{cancelFlexibleUntil}}, {{noShowCharge}}</t>
  </si>
  <si>
    <t xml:space="preserve">Belongs with the rate policy, not the hotel global.</t>
  </si>
  <si>
    <t xml:space="preserve">€250 smoking fee</t>
  </si>
  <si>
    <t xml:space="preserve">{{smokingFee}}</t>
  </si>
  <si>
    <t xml:space="preserve">Room-phone rates (€0.40; €0.80–3.20)</t>
  </si>
  <si>
    <t xml:space="preserve">{{phoneRateDomestic}}, {{phoneRateIntlMin}}, {{phoneRateIntlMax}}</t>
  </si>
  <si>
    <t xml:space="preserve">Low value – could simply stay typed.</t>
  </si>
  <si>
    <t xml:space="preserve">10:00–01:00 Lütze</t>
  </si>
  <si>
    <t xml:space="preserve">— computed —</t>
  </si>
  <si>
    <t xml:space="preserve">n/a</t>
  </si>
  <si>
    <t xml:space="preserve">Read from venues + venue-time; never a token.</t>
  </si>
  <si>
    <t xml:space="preserve">112 / 116 117</t>
  </si>
  <si>
    <t xml:space="preserve">guest-emergency, guest-medical-on-call</t>
  </si>
  <si>
    <t xml:space="preserve">— leave typed —</t>
  </si>
  <si>
    <t xml:space="preserve">National numbers; not hotel-specific.</t>
  </si>
  <si>
    <t xml:space="preserve">'24/7' service statements</t>
  </si>
  <si>
    <t xml:space="preserve">guest-care-center, guest-gym, guest-wundermart, guest-lost-and-found, guest-minibar, guest-adapter</t>
  </si>
  <si>
    <t xml:space="preserve">Service promises, not data. Review wording if opening hours change.</t>
  </si>
  <si>
    <t xml:space="preserve">Gap</t>
  </si>
  <si>
    <t xml:space="preserve">Missing FAQ</t>
  </si>
  <si>
    <t xml:space="preserve">Status now</t>
  </si>
  <si>
    <t xml:space="preserve">Covered by</t>
  </si>
  <si>
    <t xml:space="preserve">G01</t>
  </si>
  <si>
    <t xml:space="preserve">Cancellation policy</t>
  </si>
  <si>
    <t xml:space="preserve">Partly covered</t>
  </si>
  <si>
    <t xml:space="preserve">cancellation-flexible (flexible rate only)</t>
  </si>
  <si>
    <t xml:space="preserve">G02</t>
  </si>
  <si>
    <t xml:space="preserve">Still open</t>
  </si>
  <si>
    <t xml:space="preserve">The `accessibility` category exists but has 0 records</t>
  </si>
  <si>
    <t xml:space="preserve">G03</t>
  </si>
  <si>
    <t xml:space="preserve">Children: cots, extra beds, child rates</t>
  </si>
  <si>
    <t xml:space="preserve">guest-babysitting; breakfast child price in breakfast FAQs</t>
  </si>
  <si>
    <t xml:space="preserve">G04</t>
  </si>
  <si>
    <t xml:space="preserve">Breakfast for children under 6</t>
  </si>
  <si>
    <t xml:space="preserve">G05</t>
  </si>
  <si>
    <t xml:space="preserve">Air conditioning / heating</t>
  </si>
  <si>
    <t xml:space="preserve">Covered</t>
  </si>
  <si>
    <t xml:space="preserve">G06</t>
  </si>
  <si>
    <t xml:space="preserve">Smoking policy</t>
  </si>
  <si>
    <t xml:space="preserve">G07</t>
  </si>
  <si>
    <t xml:space="preserve">Nearest U-Bahn / public transport</t>
  </si>
  <si>
    <t xml:space="preserve">Existing airport answer uses train + bus only</t>
  </si>
  <si>
    <t xml:space="preserve">G08</t>
  </si>
  <si>
    <t xml:space="preserve">Getting here from Hauptbahnhof / by train</t>
  </si>
  <si>
    <t xml:space="preserve">G09</t>
  </si>
  <si>
    <t xml:space="preserve">Luggage storage after check-out</t>
  </si>
  <si>
    <t xml:space="preserve">G10</t>
  </si>
  <si>
    <t xml:space="preserve">Early check-in</t>
  </si>
  <si>
    <t xml:space="preserve">check-in-time (€30 from 06:00)</t>
  </si>
  <si>
    <t xml:space="preserve">G11</t>
  </si>
  <si>
    <t xml:space="preserve">Laundry turnaround and prices</t>
  </si>
  <si>
    <t xml:space="preserve">F24 (net new) has no turnaround/prices</t>
  </si>
  <si>
    <t xml:space="preserve">G12</t>
  </si>
  <si>
    <t xml:space="preserve">Breakfast included in rate? Dietary options</t>
  </si>
  <si>
    <t xml:space="preserve">breakfast-times mentions vegan options</t>
  </si>
  <si>
    <t xml:space="preserve">G13</t>
  </si>
  <si>
    <t xml:space="preserve">EV charging</t>
  </si>
  <si>
    <t xml:space="preserve">guest-ev-charging (but see C5)</t>
  </si>
  <si>
    <t xml:space="preserve">G14</t>
  </si>
  <si>
    <t xml:space="preserve">In-room safe</t>
  </si>
  <si>
    <t xml:space="preserve">G15</t>
  </si>
  <si>
    <t xml:space="preserve">Printing: cost and who</t>
  </si>
  <si>
    <t xml:space="preserve">Possibly guest-business-center</t>
  </si>
  <si>
    <t xml:space="preserve">G16</t>
  </si>
  <si>
    <t xml:space="preserve">Pets other than dogs</t>
  </si>
  <si>
    <t xml:space="preserve">See C9</t>
  </si>
  <si>
    <t xml:space="preserve">G17</t>
  </si>
  <si>
    <t xml:space="preserve">Lütze opening hours</t>
  </si>
  <si>
    <t xml:space="preserve">Covered – needs fixing</t>
  </si>
  <si>
    <t xml:space="preserve">guest-lutze-hours is typed text; should be computed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</si>
</sst>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4F4F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F4F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CFE2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FE2F3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4" t="s">
        <v>4</v>
      </c>
      <c r="B7" s="5" t="n">
        <f aca="false">COUNTA('Existing 47'!A2:A48)</f>
        <v>47</v>
      </c>
    </row>
    <row r="8" customFormat="false" ht="15" hidden="false" customHeight="false" outlineLevel="0" collapsed="false">
      <c r="A8" s="4" t="s">
        <v>5</v>
      </c>
      <c r="B8" s="5" t="n">
        <f aca="false">COUNTIF('Existing 47'!H2:H48,"Merge into*")</f>
        <v>7</v>
      </c>
    </row>
    <row r="9" customFormat="false" ht="15" hidden="false" customHeight="false" outlineLevel="0" collapsed="false">
      <c r="A9" s="4" t="s">
        <v>6</v>
      </c>
      <c r="B9" s="5" t="n">
        <f aca="false">SUM('Existing 47'!K2:K48)</f>
        <v>40</v>
      </c>
    </row>
    <row r="10" customFormat="false" ht="15" hidden="false" customHeight="false" outlineLevel="0" collapsed="false">
      <c r="A10" s="4" t="s">
        <v>7</v>
      </c>
      <c r="B10" s="5" t="n">
        <f aca="false">COUNTIF('Workbook 38'!D2:D39,"Existing wins*")</f>
        <v>7</v>
      </c>
    </row>
    <row r="11" customFormat="false" ht="15" hidden="false" customHeight="false" outlineLevel="0" collapsed="false">
      <c r="A11" s="4" t="s">
        <v>8</v>
      </c>
      <c r="B11" s="5" t="n">
        <f aca="false">COUNTIF('Workbook 38'!D2:D39,"Merge into existing")</f>
        <v>11</v>
      </c>
    </row>
    <row r="12" customFormat="false" ht="15" hidden="false" customHeight="false" outlineLevel="0" collapsed="false">
      <c r="A12" s="4" t="s">
        <v>9</v>
      </c>
      <c r="B12" s="5" t="n">
        <f aca="false">COUNTIF('Workbook 38'!D2:D39,"Net new")</f>
        <v>20</v>
      </c>
    </row>
    <row r="13" customFormat="false" ht="15" hidden="false" customHeight="false" outlineLevel="0" collapsed="false">
      <c r="A13" s="4" t="s">
        <v>10</v>
      </c>
      <c r="B13" s="5" t="n">
        <f aca="false">B9+B12</f>
        <v>60</v>
      </c>
    </row>
    <row r="14" customFormat="false" ht="15" hidden="false" customHeight="false" outlineLevel="0" collapsed="false">
      <c r="A14" s="4" t="s">
        <v>11</v>
      </c>
      <c r="B14" s="5" t="n">
        <f aca="false">COUNTIF('Existing 47'!H2:H48,"*CONFLICT*")</f>
        <v>6</v>
      </c>
    </row>
    <row r="15" customFormat="false" ht="15" hidden="false" customHeight="false" outlineLevel="0" collapsed="false">
      <c r="A15" s="4" t="s">
        <v>12</v>
      </c>
      <c r="B15" s="5" t="n">
        <f aca="false">COUNTA(Conflicts!A2:A10)</f>
        <v>9</v>
      </c>
    </row>
    <row r="16" customFormat="false" ht="15" hidden="false" customHeight="false" outlineLevel="0" collapsed="false">
      <c r="A16" s="4" t="s">
        <v>13</v>
      </c>
      <c r="B16" s="5" t="n">
        <f aca="false">SUM('Existing 47'!L2:L48)</f>
        <v>36</v>
      </c>
    </row>
    <row r="17" customFormat="false" ht="15" hidden="false" customHeight="false" outlineLevel="0" collapsed="false">
      <c r="A17" s="4" t="s">
        <v>14</v>
      </c>
      <c r="B17" s="5" t="n">
        <f aca="false">COUNTIF('Gaps (updated)'!C2:C18,"Still open")</f>
        <v>7</v>
      </c>
    </row>
    <row r="19" customFormat="false" ht="15" hidden="false" customHeight="false" outlineLevel="0" collapsed="false">
      <c r="A19" s="5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23.85" hidden="false" customHeight="false" outlineLevel="0" collapsed="false">
      <c r="A25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6" min="5" style="0" width="16"/>
    <col collapsed="false" customWidth="true" hidden="false" outlineLevel="0" max="7" min="7" style="0" width="8"/>
    <col collapsed="false" customWidth="true" hidden="false" outlineLevel="0" max="8" min="8" style="0" width="28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2" min="11" style="0" width="9"/>
    <col collapsed="false" customWidth="true" hidden="false" outlineLevel="0" max="13" min="13" style="0" width="40"/>
    <col collapsed="false" customWidth="true" hidden="false" outlineLevel="0" max="14" min="14" style="0" width="70"/>
    <col collapsed="false" customWidth="true" hidden="false" outlineLevel="0" max="15" min="15" style="0" width="60"/>
  </cols>
  <sheetData>
    <row r="1" customFormat="false" ht="30" hidden="false" customHeight="true" outlineLevel="0" collapsed="false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36</v>
      </c>
    </row>
    <row r="2" customFormat="false" ht="23.8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/>
      <c r="G2" s="7" t="n">
        <v>1</v>
      </c>
      <c r="H2" s="7" t="s">
        <v>42</v>
      </c>
      <c r="I2" s="7" t="s">
        <v>43</v>
      </c>
      <c r="J2" s="7" t="s">
        <v>44</v>
      </c>
      <c r="K2" s="7" t="n">
        <f aca="false">IF(LEFT(H2,10)="Merge into",0,1)</f>
        <v>1</v>
      </c>
      <c r="L2" s="7" t="n">
        <v>3</v>
      </c>
      <c r="M2" s="7" t="s">
        <v>45</v>
      </c>
      <c r="N2" s="7" t="s">
        <v>46</v>
      </c>
      <c r="O2" s="7" t="s">
        <v>47</v>
      </c>
    </row>
    <row r="3" customFormat="false" ht="35.05" hidden="false" customHeight="false" outlineLevel="0" collapsed="false">
      <c r="A3" s="7" t="s">
        <v>48</v>
      </c>
      <c r="B3" s="7" t="s">
        <v>38</v>
      </c>
      <c r="C3" s="7" t="s">
        <v>39</v>
      </c>
      <c r="D3" s="7" t="s">
        <v>40</v>
      </c>
      <c r="E3" s="7" t="s">
        <v>48</v>
      </c>
      <c r="F3" s="7" t="s">
        <v>49</v>
      </c>
      <c r="G3" s="7" t="n">
        <v>1</v>
      </c>
      <c r="H3" s="7" t="s">
        <v>42</v>
      </c>
      <c r="I3" s="7" t="s">
        <v>50</v>
      </c>
      <c r="J3" s="7" t="s">
        <v>51</v>
      </c>
      <c r="K3" s="7" t="n">
        <f aca="false">IF(LEFT(H3,10)="Merge into",0,1)</f>
        <v>1</v>
      </c>
      <c r="L3" s="7" t="n">
        <v>2</v>
      </c>
      <c r="M3" s="7" t="s">
        <v>52</v>
      </c>
      <c r="N3" s="7" t="s">
        <v>53</v>
      </c>
      <c r="O3" s="7" t="s">
        <v>54</v>
      </c>
    </row>
    <row r="4" customFormat="false" ht="23.85" hidden="false" customHeight="false" outlineLevel="0" collapsed="false">
      <c r="A4" s="7" t="s">
        <v>55</v>
      </c>
      <c r="B4" s="7" t="s">
        <v>38</v>
      </c>
      <c r="C4" s="7" t="s">
        <v>39</v>
      </c>
      <c r="D4" s="7" t="s">
        <v>40</v>
      </c>
      <c r="E4" s="7" t="s">
        <v>56</v>
      </c>
      <c r="F4" s="7"/>
      <c r="G4" s="7" t="n">
        <v>1</v>
      </c>
      <c r="H4" s="7" t="s">
        <v>42</v>
      </c>
      <c r="I4" s="7" t="s">
        <v>57</v>
      </c>
      <c r="J4" s="7" t="s">
        <v>58</v>
      </c>
      <c r="K4" s="7" t="n">
        <f aca="false">IF(LEFT(H4,10)="Merge into",0,1)</f>
        <v>1</v>
      </c>
      <c r="L4" s="7" t="n">
        <v>1</v>
      </c>
      <c r="M4" s="7" t="s">
        <v>59</v>
      </c>
      <c r="N4" s="7" t="s">
        <v>60</v>
      </c>
      <c r="O4" s="7" t="s">
        <v>61</v>
      </c>
    </row>
    <row r="5" customFormat="false" ht="23.85" hidden="false" customHeight="false" outlineLevel="0" collapsed="false">
      <c r="A5" s="7" t="s">
        <v>62</v>
      </c>
      <c r="B5" s="7" t="s">
        <v>38</v>
      </c>
      <c r="C5" s="7" t="s">
        <v>39</v>
      </c>
      <c r="D5" s="7" t="s">
        <v>40</v>
      </c>
      <c r="E5" s="7" t="s">
        <v>49</v>
      </c>
      <c r="F5" s="7"/>
      <c r="G5" s="7" t="n">
        <v>1</v>
      </c>
      <c r="H5" s="7" t="s">
        <v>63</v>
      </c>
      <c r="I5" s="7"/>
      <c r="J5" s="7" t="s">
        <v>64</v>
      </c>
      <c r="K5" s="7" t="n">
        <f aca="false">IF(LEFT(H5,10)="Merge into",0,1)</f>
        <v>1</v>
      </c>
      <c r="L5" s="7" t="n">
        <v>0</v>
      </c>
      <c r="M5" s="7" t="s">
        <v>65</v>
      </c>
      <c r="N5" s="7" t="s">
        <v>66</v>
      </c>
      <c r="O5" s="7" t="s">
        <v>67</v>
      </c>
    </row>
    <row r="6" customFormat="false" ht="35.05" hidden="false" customHeight="false" outlineLevel="0" collapsed="false">
      <c r="A6" s="7" t="s">
        <v>68</v>
      </c>
      <c r="B6" s="7" t="s">
        <v>38</v>
      </c>
      <c r="C6" s="7" t="s">
        <v>69</v>
      </c>
      <c r="D6" s="7" t="s">
        <v>38</v>
      </c>
      <c r="E6" s="7" t="s">
        <v>70</v>
      </c>
      <c r="F6" s="7"/>
      <c r="G6" s="7" t="n">
        <v>1</v>
      </c>
      <c r="H6" s="7" t="s">
        <v>71</v>
      </c>
      <c r="I6" s="7"/>
      <c r="J6" s="7"/>
      <c r="K6" s="7" t="n">
        <f aca="false">IF(LEFT(H6,10)="Merge into",0,1)</f>
        <v>1</v>
      </c>
      <c r="L6" s="7" t="n">
        <v>2</v>
      </c>
      <c r="M6" s="7" t="s">
        <v>72</v>
      </c>
      <c r="N6" s="7" t="s">
        <v>73</v>
      </c>
      <c r="O6" s="7" t="s">
        <v>74</v>
      </c>
    </row>
    <row r="7" customFormat="false" ht="23.85" hidden="false" customHeight="false" outlineLevel="0" collapsed="false">
      <c r="A7" s="7" t="s">
        <v>75</v>
      </c>
      <c r="B7" s="7" t="s">
        <v>38</v>
      </c>
      <c r="C7" s="7" t="s">
        <v>76</v>
      </c>
      <c r="D7" s="7" t="s">
        <v>40</v>
      </c>
      <c r="E7" s="7" t="s">
        <v>77</v>
      </c>
      <c r="F7" s="7" t="s">
        <v>76</v>
      </c>
      <c r="G7" s="7" t="n">
        <v>1</v>
      </c>
      <c r="H7" s="7" t="s">
        <v>78</v>
      </c>
      <c r="I7" s="7" t="s">
        <v>79</v>
      </c>
      <c r="J7" s="7" t="s">
        <v>80</v>
      </c>
      <c r="K7" s="7" t="n">
        <f aca="false">IF(LEFT(H7,10)="Merge into",0,1)</f>
        <v>1</v>
      </c>
      <c r="L7" s="7" t="n">
        <v>2</v>
      </c>
      <c r="M7" s="7" t="s">
        <v>81</v>
      </c>
      <c r="N7" s="7" t="s">
        <v>82</v>
      </c>
      <c r="O7" s="7" t="s">
        <v>83</v>
      </c>
    </row>
    <row r="8" customFormat="false" ht="23.85" hidden="false" customHeight="false" outlineLevel="0" collapsed="false">
      <c r="A8" s="7" t="s">
        <v>84</v>
      </c>
      <c r="B8" s="7" t="s">
        <v>85</v>
      </c>
      <c r="C8" s="7" t="s">
        <v>86</v>
      </c>
      <c r="D8" s="7" t="s">
        <v>40</v>
      </c>
      <c r="E8" s="7" t="s">
        <v>41</v>
      </c>
      <c r="F8" s="7"/>
      <c r="G8" s="7" t="n">
        <v>1</v>
      </c>
      <c r="H8" s="7" t="s">
        <v>87</v>
      </c>
      <c r="I8" s="7" t="s">
        <v>43</v>
      </c>
      <c r="J8" s="7" t="s">
        <v>44</v>
      </c>
      <c r="K8" s="7" t="n">
        <f aca="false">IF(LEFT(H8,10)="Merge into",0,1)</f>
        <v>0</v>
      </c>
      <c r="L8" s="7" t="n">
        <v>1</v>
      </c>
      <c r="M8" s="7" t="s">
        <v>88</v>
      </c>
      <c r="N8" s="7" t="s">
        <v>89</v>
      </c>
      <c r="O8" s="7" t="s">
        <v>90</v>
      </c>
    </row>
    <row r="9" customFormat="false" ht="23.85" hidden="false" customHeight="false" outlineLevel="0" collapsed="false">
      <c r="A9" s="7" t="s">
        <v>91</v>
      </c>
      <c r="B9" s="7" t="s">
        <v>85</v>
      </c>
      <c r="C9" s="7" t="s">
        <v>86</v>
      </c>
      <c r="D9" s="7" t="s">
        <v>40</v>
      </c>
      <c r="E9" s="7" t="s">
        <v>41</v>
      </c>
      <c r="F9" s="7"/>
      <c r="G9" s="7" t="n">
        <v>1</v>
      </c>
      <c r="H9" s="7" t="s">
        <v>92</v>
      </c>
      <c r="I9" s="7"/>
      <c r="J9" s="7" t="s">
        <v>93</v>
      </c>
      <c r="K9" s="7" t="n">
        <f aca="false">IF(LEFT(H9,10)="Merge into",0,1)</f>
        <v>1</v>
      </c>
      <c r="L9" s="7" t="n">
        <v>1</v>
      </c>
      <c r="M9" s="7" t="s">
        <v>94</v>
      </c>
      <c r="N9" s="7" t="s">
        <v>95</v>
      </c>
      <c r="O9" s="7" t="s">
        <v>96</v>
      </c>
    </row>
    <row r="10" customFormat="false" ht="23.85" hidden="false" customHeight="false" outlineLevel="0" collapsed="false">
      <c r="A10" s="7" t="s">
        <v>97</v>
      </c>
      <c r="B10" s="7" t="s">
        <v>85</v>
      </c>
      <c r="C10" s="7" t="s">
        <v>86</v>
      </c>
      <c r="D10" s="7" t="s">
        <v>40</v>
      </c>
      <c r="E10" s="7" t="s">
        <v>41</v>
      </c>
      <c r="F10" s="7"/>
      <c r="G10" s="7" t="n">
        <v>2</v>
      </c>
      <c r="H10" s="7" t="s">
        <v>98</v>
      </c>
      <c r="I10" s="7"/>
      <c r="J10" s="7" t="s">
        <v>99</v>
      </c>
      <c r="K10" s="7" t="n">
        <f aca="false">IF(LEFT(H10,10)="Merge into",0,1)</f>
        <v>1</v>
      </c>
      <c r="L10" s="7" t="n">
        <v>0</v>
      </c>
      <c r="M10" s="7" t="s">
        <v>100</v>
      </c>
      <c r="N10" s="7" t="s">
        <v>101</v>
      </c>
      <c r="O10" s="7" t="s">
        <v>102</v>
      </c>
    </row>
    <row r="11" customFormat="false" ht="15" hidden="false" customHeight="false" outlineLevel="0" collapsed="false">
      <c r="A11" s="7" t="s">
        <v>103</v>
      </c>
      <c r="B11" s="7" t="s">
        <v>85</v>
      </c>
      <c r="C11" s="7" t="s">
        <v>86</v>
      </c>
      <c r="D11" s="7" t="s">
        <v>85</v>
      </c>
      <c r="E11" s="7" t="s">
        <v>104</v>
      </c>
      <c r="F11" s="7" t="s">
        <v>105</v>
      </c>
      <c r="G11" s="7" t="n">
        <v>2</v>
      </c>
      <c r="H11" s="7" t="s">
        <v>106</v>
      </c>
      <c r="I11" s="7"/>
      <c r="J11" s="7" t="s">
        <v>107</v>
      </c>
      <c r="K11" s="7" t="n">
        <f aca="false">IF(LEFT(H11,10)="Merge into",0,1)</f>
        <v>1</v>
      </c>
      <c r="L11" s="7" t="n">
        <v>1</v>
      </c>
      <c r="M11" s="7" t="s">
        <v>108</v>
      </c>
      <c r="N11" s="7" t="s">
        <v>109</v>
      </c>
      <c r="O11" s="7" t="s">
        <v>110</v>
      </c>
    </row>
    <row r="12" customFormat="false" ht="23.85" hidden="false" customHeight="false" outlineLevel="0" collapsed="false">
      <c r="A12" s="7" t="s">
        <v>111</v>
      </c>
      <c r="B12" s="7" t="s">
        <v>85</v>
      </c>
      <c r="C12" s="7" t="s">
        <v>86</v>
      </c>
      <c r="D12" s="7" t="s">
        <v>85</v>
      </c>
      <c r="E12" s="7" t="s">
        <v>112</v>
      </c>
      <c r="F12" s="7"/>
      <c r="G12" s="7" t="n">
        <v>3</v>
      </c>
      <c r="H12" s="7" t="s">
        <v>71</v>
      </c>
      <c r="I12" s="7"/>
      <c r="J12" s="7"/>
      <c r="K12" s="7" t="n">
        <f aca="false">IF(LEFT(H12,10)="Merge into",0,1)</f>
        <v>1</v>
      </c>
      <c r="L12" s="7" t="n">
        <v>0</v>
      </c>
      <c r="M12" s="7" t="s">
        <v>113</v>
      </c>
      <c r="N12" s="7" t="s">
        <v>114</v>
      </c>
      <c r="O12" s="7"/>
    </row>
    <row r="13" customFormat="false" ht="23.85" hidden="false" customHeight="false" outlineLevel="0" collapsed="false">
      <c r="A13" s="7" t="s">
        <v>115</v>
      </c>
      <c r="B13" s="7" t="s">
        <v>85</v>
      </c>
      <c r="C13" s="7" t="s">
        <v>112</v>
      </c>
      <c r="D13" s="7" t="s">
        <v>85</v>
      </c>
      <c r="E13" s="7" t="s">
        <v>116</v>
      </c>
      <c r="F13" s="7" t="s">
        <v>112</v>
      </c>
      <c r="G13" s="7" t="n">
        <v>1</v>
      </c>
      <c r="H13" s="7" t="s">
        <v>117</v>
      </c>
      <c r="I13" s="7"/>
      <c r="J13" s="7" t="s">
        <v>118</v>
      </c>
      <c r="K13" s="7" t="n">
        <f aca="false">IF(LEFT(H13,10)="Merge into",0,1)</f>
        <v>1</v>
      </c>
      <c r="L13" s="7" t="n">
        <v>0</v>
      </c>
      <c r="M13" s="7" t="s">
        <v>119</v>
      </c>
      <c r="N13" s="7" t="s">
        <v>120</v>
      </c>
      <c r="O13" s="7" t="s">
        <v>121</v>
      </c>
    </row>
    <row r="14" customFormat="false" ht="23.85" hidden="false" customHeight="false" outlineLevel="0" collapsed="false">
      <c r="A14" s="7" t="s">
        <v>122</v>
      </c>
      <c r="B14" s="7" t="s">
        <v>85</v>
      </c>
      <c r="C14" s="7" t="s">
        <v>112</v>
      </c>
      <c r="D14" s="7" t="s">
        <v>40</v>
      </c>
      <c r="E14" s="7" t="s">
        <v>112</v>
      </c>
      <c r="F14" s="7"/>
      <c r="G14" s="7" t="n">
        <v>3</v>
      </c>
      <c r="H14" s="7" t="s">
        <v>71</v>
      </c>
      <c r="I14" s="7"/>
      <c r="J14" s="7"/>
      <c r="K14" s="7" t="n">
        <f aca="false">IF(LEFT(H14,10)="Merge into",0,1)</f>
        <v>1</v>
      </c>
      <c r="L14" s="7" t="n">
        <v>1</v>
      </c>
      <c r="M14" s="7" t="s">
        <v>123</v>
      </c>
      <c r="N14" s="7" t="s">
        <v>124</v>
      </c>
      <c r="O14" s="7"/>
    </row>
    <row r="15" customFormat="false" ht="15" hidden="false" customHeight="false" outlineLevel="0" collapsed="false">
      <c r="A15" s="7" t="s">
        <v>125</v>
      </c>
      <c r="B15" s="7" t="s">
        <v>85</v>
      </c>
      <c r="C15" s="7" t="s">
        <v>112</v>
      </c>
      <c r="D15" s="7" t="s">
        <v>85</v>
      </c>
      <c r="E15" s="7" t="s">
        <v>112</v>
      </c>
      <c r="F15" s="7"/>
      <c r="G15" s="7" t="n">
        <v>3</v>
      </c>
      <c r="H15" s="7" t="s">
        <v>71</v>
      </c>
      <c r="I15" s="7"/>
      <c r="J15" s="7"/>
      <c r="K15" s="7" t="n">
        <f aca="false">IF(LEFT(H15,10)="Merge into",0,1)</f>
        <v>1</v>
      </c>
      <c r="L15" s="7" t="n">
        <v>0</v>
      </c>
      <c r="M15" s="7" t="s">
        <v>126</v>
      </c>
      <c r="N15" s="7" t="s">
        <v>127</v>
      </c>
      <c r="O15" s="7" t="s">
        <v>128</v>
      </c>
    </row>
    <row r="16" customFormat="false" ht="23.85" hidden="false" customHeight="false" outlineLevel="0" collapsed="false">
      <c r="A16" s="7" t="s">
        <v>129</v>
      </c>
      <c r="B16" s="7" t="s">
        <v>85</v>
      </c>
      <c r="C16" s="7" t="s">
        <v>112</v>
      </c>
      <c r="D16" s="7" t="s">
        <v>40</v>
      </c>
      <c r="E16" s="7" t="s">
        <v>112</v>
      </c>
      <c r="F16" s="7" t="s">
        <v>130</v>
      </c>
      <c r="G16" s="7" t="n">
        <v>2</v>
      </c>
      <c r="H16" s="7" t="s">
        <v>63</v>
      </c>
      <c r="I16" s="7"/>
      <c r="J16" s="7" t="s">
        <v>131</v>
      </c>
      <c r="K16" s="7" t="n">
        <f aca="false">IF(LEFT(H16,10)="Merge into",0,1)</f>
        <v>1</v>
      </c>
      <c r="L16" s="7" t="n">
        <v>0</v>
      </c>
      <c r="M16" s="7" t="s">
        <v>132</v>
      </c>
      <c r="N16" s="7" t="s">
        <v>133</v>
      </c>
      <c r="O16" s="7" t="s">
        <v>134</v>
      </c>
    </row>
    <row r="17" customFormat="false" ht="23.85" hidden="false" customHeight="false" outlineLevel="0" collapsed="false">
      <c r="A17" s="7" t="s">
        <v>135</v>
      </c>
      <c r="B17" s="7" t="s">
        <v>85</v>
      </c>
      <c r="C17" s="7" t="s">
        <v>112</v>
      </c>
      <c r="D17" s="7" t="s">
        <v>85</v>
      </c>
      <c r="E17" s="7" t="s">
        <v>136</v>
      </c>
      <c r="F17" s="7" t="s">
        <v>112</v>
      </c>
      <c r="G17" s="7" t="n">
        <v>3</v>
      </c>
      <c r="H17" s="7" t="s">
        <v>137</v>
      </c>
      <c r="I17" s="7"/>
      <c r="J17" s="7" t="s">
        <v>138</v>
      </c>
      <c r="K17" s="7" t="n">
        <f aca="false">IF(LEFT(H17,10)="Merge into",0,1)</f>
        <v>1</v>
      </c>
      <c r="L17" s="7" t="n">
        <v>0</v>
      </c>
      <c r="M17" s="7" t="s">
        <v>139</v>
      </c>
      <c r="N17" s="7" t="s">
        <v>140</v>
      </c>
      <c r="O17" s="7" t="s">
        <v>141</v>
      </c>
    </row>
    <row r="18" customFormat="false" ht="23.85" hidden="false" customHeight="false" outlineLevel="0" collapsed="false">
      <c r="A18" s="7" t="s">
        <v>142</v>
      </c>
      <c r="B18" s="7" t="s">
        <v>85</v>
      </c>
      <c r="C18" s="7" t="s">
        <v>112</v>
      </c>
      <c r="D18" s="7" t="s">
        <v>85</v>
      </c>
      <c r="E18" s="7" t="s">
        <v>136</v>
      </c>
      <c r="F18" s="7" t="s">
        <v>112</v>
      </c>
      <c r="G18" s="7" t="n">
        <v>3</v>
      </c>
      <c r="H18" s="7" t="s">
        <v>143</v>
      </c>
      <c r="I18" s="7"/>
      <c r="J18" s="7" t="s">
        <v>144</v>
      </c>
      <c r="K18" s="7" t="n">
        <f aca="false">IF(LEFT(H18,10)="Merge into",0,1)</f>
        <v>1</v>
      </c>
      <c r="L18" s="7" t="n">
        <v>1</v>
      </c>
      <c r="M18" s="7" t="s">
        <v>145</v>
      </c>
      <c r="N18" s="7" t="s">
        <v>146</v>
      </c>
      <c r="O18" s="7" t="s">
        <v>147</v>
      </c>
    </row>
    <row r="19" customFormat="false" ht="15" hidden="false" customHeight="false" outlineLevel="0" collapsed="false">
      <c r="A19" s="7" t="s">
        <v>148</v>
      </c>
      <c r="B19" s="7" t="s">
        <v>85</v>
      </c>
      <c r="C19" s="7" t="s">
        <v>112</v>
      </c>
      <c r="D19" s="7" t="s">
        <v>40</v>
      </c>
      <c r="E19" s="7" t="s">
        <v>112</v>
      </c>
      <c r="F19" s="7"/>
      <c r="G19" s="7" t="n">
        <v>2</v>
      </c>
      <c r="H19" s="7" t="s">
        <v>71</v>
      </c>
      <c r="I19" s="7"/>
      <c r="J19" s="7"/>
      <c r="K19" s="7" t="n">
        <f aca="false">IF(LEFT(H19,10)="Merge into",0,1)</f>
        <v>1</v>
      </c>
      <c r="L19" s="7" t="n">
        <v>0</v>
      </c>
      <c r="M19" s="7" t="s">
        <v>149</v>
      </c>
      <c r="N19" s="7" t="s">
        <v>150</v>
      </c>
      <c r="O19" s="7" t="s">
        <v>151</v>
      </c>
    </row>
    <row r="20" customFormat="false" ht="15" hidden="false" customHeight="false" outlineLevel="0" collapsed="false">
      <c r="A20" s="7" t="s">
        <v>152</v>
      </c>
      <c r="B20" s="7" t="s">
        <v>85</v>
      </c>
      <c r="C20" s="7" t="s">
        <v>112</v>
      </c>
      <c r="D20" s="7" t="s">
        <v>40</v>
      </c>
      <c r="E20" s="7" t="s">
        <v>112</v>
      </c>
      <c r="F20" s="7"/>
      <c r="G20" s="7" t="n">
        <v>3</v>
      </c>
      <c r="H20" s="7" t="s">
        <v>71</v>
      </c>
      <c r="I20" s="7"/>
      <c r="J20" s="7"/>
      <c r="K20" s="7" t="n">
        <f aca="false">IF(LEFT(H20,10)="Merge into",0,1)</f>
        <v>1</v>
      </c>
      <c r="L20" s="7" t="n">
        <v>0</v>
      </c>
      <c r="M20" s="7" t="s">
        <v>153</v>
      </c>
      <c r="N20" s="7" t="s">
        <v>154</v>
      </c>
      <c r="O20" s="7"/>
    </row>
    <row r="21" customFormat="false" ht="15" hidden="false" customHeight="false" outlineLevel="0" collapsed="false">
      <c r="A21" s="7" t="s">
        <v>155</v>
      </c>
      <c r="B21" s="7" t="s">
        <v>85</v>
      </c>
      <c r="C21" s="7" t="s">
        <v>112</v>
      </c>
      <c r="D21" s="7" t="s">
        <v>85</v>
      </c>
      <c r="E21" s="7" t="s">
        <v>112</v>
      </c>
      <c r="F21" s="7"/>
      <c r="G21" s="7" t="n">
        <v>3</v>
      </c>
      <c r="H21" s="7" t="s">
        <v>71</v>
      </c>
      <c r="I21" s="7"/>
      <c r="J21" s="7"/>
      <c r="K21" s="7" t="n">
        <f aca="false">IF(LEFT(H21,10)="Merge into",0,1)</f>
        <v>1</v>
      </c>
      <c r="L21" s="7" t="n">
        <v>2</v>
      </c>
      <c r="M21" s="7" t="s">
        <v>156</v>
      </c>
      <c r="N21" s="7" t="s">
        <v>157</v>
      </c>
      <c r="O21" s="7" t="s">
        <v>158</v>
      </c>
    </row>
    <row r="22" customFormat="false" ht="23.85" hidden="false" customHeight="false" outlineLevel="0" collapsed="false">
      <c r="A22" s="7" t="s">
        <v>159</v>
      </c>
      <c r="B22" s="7" t="s">
        <v>85</v>
      </c>
      <c r="C22" s="7" t="s">
        <v>160</v>
      </c>
      <c r="D22" s="7" t="s">
        <v>40</v>
      </c>
      <c r="E22" s="7" t="s">
        <v>161</v>
      </c>
      <c r="F22" s="7"/>
      <c r="G22" s="7" t="n">
        <v>1</v>
      </c>
      <c r="H22" s="7" t="s">
        <v>42</v>
      </c>
      <c r="I22" s="7" t="s">
        <v>162</v>
      </c>
      <c r="J22" s="7" t="s">
        <v>163</v>
      </c>
      <c r="K22" s="7" t="n">
        <f aca="false">IF(LEFT(H22,10)="Merge into",0,1)</f>
        <v>1</v>
      </c>
      <c r="L22" s="7" t="n">
        <v>0</v>
      </c>
      <c r="M22" s="7" t="s">
        <v>164</v>
      </c>
      <c r="N22" s="7" t="s">
        <v>165</v>
      </c>
      <c r="O22" s="7" t="s">
        <v>166</v>
      </c>
    </row>
    <row r="23" customFormat="false" ht="15" hidden="false" customHeight="false" outlineLevel="0" collapsed="false">
      <c r="A23" s="7" t="s">
        <v>167</v>
      </c>
      <c r="B23" s="7" t="s">
        <v>85</v>
      </c>
      <c r="C23" s="7" t="s">
        <v>160</v>
      </c>
      <c r="D23" s="7" t="s">
        <v>85</v>
      </c>
      <c r="E23" s="7" t="s">
        <v>161</v>
      </c>
      <c r="F23" s="7"/>
      <c r="G23" s="7" t="n">
        <v>3</v>
      </c>
      <c r="H23" s="7" t="s">
        <v>71</v>
      </c>
      <c r="I23" s="7"/>
      <c r="J23" s="7"/>
      <c r="K23" s="7" t="n">
        <f aca="false">IF(LEFT(H23,10)="Merge into",0,1)</f>
        <v>1</v>
      </c>
      <c r="L23" s="7" t="n">
        <v>0</v>
      </c>
      <c r="M23" s="7" t="s">
        <v>168</v>
      </c>
      <c r="N23" s="7" t="s">
        <v>169</v>
      </c>
      <c r="O23" s="7" t="s">
        <v>170</v>
      </c>
    </row>
    <row r="24" customFormat="false" ht="23.85" hidden="false" customHeight="false" outlineLevel="0" collapsed="false">
      <c r="A24" s="7" t="s">
        <v>171</v>
      </c>
      <c r="B24" s="7" t="s">
        <v>85</v>
      </c>
      <c r="C24" s="7" t="s">
        <v>160</v>
      </c>
      <c r="D24" s="7" t="s">
        <v>85</v>
      </c>
      <c r="E24" s="7" t="s">
        <v>161</v>
      </c>
      <c r="F24" s="7"/>
      <c r="G24" s="7" t="n">
        <v>3</v>
      </c>
      <c r="H24" s="7" t="s">
        <v>71</v>
      </c>
      <c r="I24" s="7"/>
      <c r="J24" s="7"/>
      <c r="K24" s="7" t="n">
        <f aca="false">IF(LEFT(H24,10)="Merge into",0,1)</f>
        <v>1</v>
      </c>
      <c r="L24" s="7" t="n">
        <v>0</v>
      </c>
      <c r="M24" s="7" t="s">
        <v>172</v>
      </c>
      <c r="N24" s="7" t="s">
        <v>173</v>
      </c>
      <c r="O24" s="7" t="s">
        <v>174</v>
      </c>
    </row>
    <row r="25" customFormat="false" ht="15" hidden="false" customHeight="false" outlineLevel="0" collapsed="false">
      <c r="A25" s="7" t="s">
        <v>175</v>
      </c>
      <c r="B25" s="7" t="s">
        <v>85</v>
      </c>
      <c r="C25" s="7" t="s">
        <v>176</v>
      </c>
      <c r="D25" s="7" t="s">
        <v>85</v>
      </c>
      <c r="E25" s="7" t="s">
        <v>177</v>
      </c>
      <c r="F25" s="7"/>
      <c r="G25" s="7" t="n">
        <v>2</v>
      </c>
      <c r="H25" s="7" t="s">
        <v>71</v>
      </c>
      <c r="I25" s="7"/>
      <c r="J25" s="7"/>
      <c r="K25" s="7" t="n">
        <f aca="false">IF(LEFT(H25,10)="Merge into",0,1)</f>
        <v>1</v>
      </c>
      <c r="L25" s="7" t="n">
        <v>2</v>
      </c>
      <c r="M25" s="7" t="s">
        <v>178</v>
      </c>
      <c r="N25" s="7" t="s">
        <v>179</v>
      </c>
      <c r="O25" s="7"/>
    </row>
    <row r="26" customFormat="false" ht="23.85" hidden="false" customHeight="false" outlineLevel="0" collapsed="false">
      <c r="A26" s="7" t="s">
        <v>180</v>
      </c>
      <c r="B26" s="7" t="s">
        <v>85</v>
      </c>
      <c r="C26" s="7" t="s">
        <v>176</v>
      </c>
      <c r="D26" s="7" t="s">
        <v>85</v>
      </c>
      <c r="E26" s="7" t="s">
        <v>177</v>
      </c>
      <c r="F26" s="7"/>
      <c r="G26" s="7" t="n">
        <v>2</v>
      </c>
      <c r="H26" s="7" t="s">
        <v>181</v>
      </c>
      <c r="I26" s="7" t="s">
        <v>182</v>
      </c>
      <c r="J26" s="7"/>
      <c r="K26" s="7" t="n">
        <f aca="false">IF(LEFT(H26,10)="Merge into",0,1)</f>
        <v>1</v>
      </c>
      <c r="L26" s="7" t="n">
        <v>2</v>
      </c>
      <c r="M26" s="7" t="s">
        <v>183</v>
      </c>
      <c r="N26" s="7" t="s">
        <v>184</v>
      </c>
      <c r="O26" s="7" t="s">
        <v>185</v>
      </c>
    </row>
    <row r="27" customFormat="false" ht="15" hidden="false" customHeight="false" outlineLevel="0" collapsed="false">
      <c r="A27" s="7" t="s">
        <v>186</v>
      </c>
      <c r="B27" s="7" t="s">
        <v>85</v>
      </c>
      <c r="C27" s="7" t="s">
        <v>176</v>
      </c>
      <c r="D27" s="7" t="s">
        <v>85</v>
      </c>
      <c r="E27" s="7" t="s">
        <v>177</v>
      </c>
      <c r="F27" s="7"/>
      <c r="G27" s="7" t="n">
        <v>3</v>
      </c>
      <c r="H27" s="7" t="s">
        <v>71</v>
      </c>
      <c r="I27" s="7"/>
      <c r="J27" s="7"/>
      <c r="K27" s="7" t="n">
        <f aca="false">IF(LEFT(H27,10)="Merge into",0,1)</f>
        <v>1</v>
      </c>
      <c r="L27" s="7" t="n">
        <v>0</v>
      </c>
      <c r="M27" s="7" t="s">
        <v>187</v>
      </c>
      <c r="N27" s="7" t="s">
        <v>188</v>
      </c>
      <c r="O27" s="7" t="s">
        <v>174</v>
      </c>
    </row>
    <row r="28" customFormat="false" ht="23.85" hidden="false" customHeight="false" outlineLevel="0" collapsed="false">
      <c r="A28" s="7" t="s">
        <v>189</v>
      </c>
      <c r="B28" s="7" t="s">
        <v>85</v>
      </c>
      <c r="C28" s="7" t="s">
        <v>176</v>
      </c>
      <c r="D28" s="7" t="s">
        <v>85</v>
      </c>
      <c r="E28" s="7" t="s">
        <v>177</v>
      </c>
      <c r="F28" s="7"/>
      <c r="G28" s="7" t="n">
        <v>3</v>
      </c>
      <c r="H28" s="7" t="s">
        <v>42</v>
      </c>
      <c r="I28" s="7" t="s">
        <v>190</v>
      </c>
      <c r="J28" s="7"/>
      <c r="K28" s="7" t="n">
        <f aca="false">IF(LEFT(H28,10)="Merge into",0,1)</f>
        <v>1</v>
      </c>
      <c r="L28" s="7" t="n">
        <v>0</v>
      </c>
      <c r="M28" s="7" t="s">
        <v>191</v>
      </c>
      <c r="N28" s="7" t="s">
        <v>192</v>
      </c>
      <c r="O28" s="7" t="s">
        <v>193</v>
      </c>
    </row>
    <row r="29" customFormat="false" ht="23.85" hidden="false" customHeight="false" outlineLevel="0" collapsed="false">
      <c r="A29" s="7" t="s">
        <v>194</v>
      </c>
      <c r="B29" s="7" t="s">
        <v>85</v>
      </c>
      <c r="C29" s="7" t="s">
        <v>176</v>
      </c>
      <c r="D29" s="7" t="s">
        <v>85</v>
      </c>
      <c r="E29" s="7" t="s">
        <v>177</v>
      </c>
      <c r="F29" s="7"/>
      <c r="G29" s="7" t="n">
        <v>3</v>
      </c>
      <c r="H29" s="7" t="s">
        <v>195</v>
      </c>
      <c r="I29" s="7" t="s">
        <v>190</v>
      </c>
      <c r="J29" s="7"/>
      <c r="K29" s="7" t="n">
        <f aca="false">IF(LEFT(H29,10)="Merge into",0,1)</f>
        <v>0</v>
      </c>
      <c r="L29" s="7" t="n">
        <v>0</v>
      </c>
      <c r="M29" s="7" t="s">
        <v>196</v>
      </c>
      <c r="N29" s="7" t="s">
        <v>197</v>
      </c>
      <c r="O29" s="7"/>
    </row>
    <row r="30" customFormat="false" ht="15" hidden="false" customHeight="false" outlineLevel="0" collapsed="false">
      <c r="A30" s="7" t="s">
        <v>198</v>
      </c>
      <c r="B30" s="7" t="s">
        <v>85</v>
      </c>
      <c r="C30" s="7" t="s">
        <v>176</v>
      </c>
      <c r="D30" s="7" t="s">
        <v>40</v>
      </c>
      <c r="E30" s="7" t="s">
        <v>136</v>
      </c>
      <c r="F30" s="7"/>
      <c r="G30" s="7" t="n">
        <v>3</v>
      </c>
      <c r="H30" s="7" t="s">
        <v>71</v>
      </c>
      <c r="I30" s="7"/>
      <c r="J30" s="7"/>
      <c r="K30" s="7" t="n">
        <f aca="false">IF(LEFT(H30,10)="Merge into",0,1)</f>
        <v>1</v>
      </c>
      <c r="L30" s="7" t="n">
        <v>0</v>
      </c>
      <c r="M30" s="7" t="s">
        <v>199</v>
      </c>
      <c r="N30" s="7" t="s">
        <v>200</v>
      </c>
      <c r="O30" s="7" t="s">
        <v>201</v>
      </c>
    </row>
    <row r="31" customFormat="false" ht="15" hidden="false" customHeight="false" outlineLevel="0" collapsed="false">
      <c r="A31" s="7" t="s">
        <v>202</v>
      </c>
      <c r="B31" s="7" t="s">
        <v>85</v>
      </c>
      <c r="C31" s="7" t="s">
        <v>176</v>
      </c>
      <c r="D31" s="7" t="s">
        <v>85</v>
      </c>
      <c r="E31" s="7" t="s">
        <v>177</v>
      </c>
      <c r="F31" s="7"/>
      <c r="G31" s="7" t="n">
        <v>3</v>
      </c>
      <c r="H31" s="7" t="s">
        <v>203</v>
      </c>
      <c r="I31" s="7" t="s">
        <v>182</v>
      </c>
      <c r="J31" s="7"/>
      <c r="K31" s="7" t="n">
        <f aca="false">IF(LEFT(H31,10)="Merge into",0,1)</f>
        <v>0</v>
      </c>
      <c r="L31" s="7" t="n">
        <v>1</v>
      </c>
      <c r="M31" s="7" t="s">
        <v>204</v>
      </c>
      <c r="N31" s="7" t="s">
        <v>205</v>
      </c>
      <c r="O31" s="7"/>
    </row>
    <row r="32" customFormat="false" ht="23.85" hidden="false" customHeight="false" outlineLevel="0" collapsed="false">
      <c r="A32" s="7" t="s">
        <v>206</v>
      </c>
      <c r="B32" s="7" t="s">
        <v>85</v>
      </c>
      <c r="C32" s="7" t="s">
        <v>207</v>
      </c>
      <c r="D32" s="7" t="s">
        <v>40</v>
      </c>
      <c r="E32" s="7" t="s">
        <v>48</v>
      </c>
      <c r="F32" s="7"/>
      <c r="G32" s="7" t="n">
        <v>1</v>
      </c>
      <c r="H32" s="7" t="s">
        <v>208</v>
      </c>
      <c r="I32" s="7" t="s">
        <v>50</v>
      </c>
      <c r="J32" s="7" t="s">
        <v>51</v>
      </c>
      <c r="K32" s="7" t="n">
        <f aca="false">IF(LEFT(H32,10)="Merge into",0,1)</f>
        <v>0</v>
      </c>
      <c r="L32" s="7" t="n">
        <v>2</v>
      </c>
      <c r="M32" s="7" t="s">
        <v>209</v>
      </c>
      <c r="N32" s="7" t="s">
        <v>210</v>
      </c>
      <c r="O32" s="7"/>
    </row>
    <row r="33" customFormat="false" ht="15" hidden="false" customHeight="false" outlineLevel="0" collapsed="false">
      <c r="A33" s="7" t="s">
        <v>211</v>
      </c>
      <c r="B33" s="7" t="s">
        <v>85</v>
      </c>
      <c r="C33" s="7" t="s">
        <v>207</v>
      </c>
      <c r="D33" s="7" t="s">
        <v>40</v>
      </c>
      <c r="E33" s="7" t="s">
        <v>48</v>
      </c>
      <c r="F33" s="7"/>
      <c r="G33" s="7" t="n">
        <v>2</v>
      </c>
      <c r="H33" s="7" t="s">
        <v>71</v>
      </c>
      <c r="I33" s="7"/>
      <c r="J33" s="7"/>
      <c r="K33" s="7" t="n">
        <f aca="false">IF(LEFT(H33,10)="Merge into",0,1)</f>
        <v>1</v>
      </c>
      <c r="L33" s="7" t="n">
        <v>0</v>
      </c>
      <c r="M33" s="7" t="s">
        <v>212</v>
      </c>
      <c r="N33" s="7" t="s">
        <v>213</v>
      </c>
      <c r="O33" s="7" t="s">
        <v>214</v>
      </c>
    </row>
    <row r="34" customFormat="false" ht="15" hidden="false" customHeight="false" outlineLevel="0" collapsed="false">
      <c r="A34" s="7" t="s">
        <v>215</v>
      </c>
      <c r="B34" s="7" t="s">
        <v>85</v>
      </c>
      <c r="C34" s="7" t="s">
        <v>207</v>
      </c>
      <c r="D34" s="7" t="s">
        <v>40</v>
      </c>
      <c r="E34" s="7" t="s">
        <v>216</v>
      </c>
      <c r="F34" s="7"/>
      <c r="G34" s="7" t="n">
        <v>2</v>
      </c>
      <c r="H34" s="7" t="s">
        <v>217</v>
      </c>
      <c r="I34" s="7"/>
      <c r="J34" s="7" t="s">
        <v>218</v>
      </c>
      <c r="K34" s="7" t="n">
        <f aca="false">IF(LEFT(H34,10)="Merge into",0,1)</f>
        <v>1</v>
      </c>
      <c r="L34" s="7" t="n">
        <v>0</v>
      </c>
      <c r="M34" s="7" t="s">
        <v>219</v>
      </c>
      <c r="N34" s="7" t="s">
        <v>220</v>
      </c>
      <c r="O34" s="7" t="s">
        <v>221</v>
      </c>
    </row>
    <row r="35" customFormat="false" ht="23.85" hidden="false" customHeight="false" outlineLevel="0" collapsed="false">
      <c r="A35" s="7" t="s">
        <v>222</v>
      </c>
      <c r="B35" s="7" t="s">
        <v>85</v>
      </c>
      <c r="C35" s="7" t="s">
        <v>207</v>
      </c>
      <c r="D35" s="7" t="s">
        <v>85</v>
      </c>
      <c r="E35" s="7" t="s">
        <v>207</v>
      </c>
      <c r="F35" s="7"/>
      <c r="G35" s="7" t="n">
        <v>3</v>
      </c>
      <c r="H35" s="7" t="s">
        <v>71</v>
      </c>
      <c r="I35" s="7"/>
      <c r="J35" s="7"/>
      <c r="K35" s="7" t="n">
        <f aca="false">IF(LEFT(H35,10)="Merge into",0,1)</f>
        <v>1</v>
      </c>
      <c r="L35" s="7" t="n">
        <v>0</v>
      </c>
      <c r="M35" s="7" t="s">
        <v>223</v>
      </c>
      <c r="N35" s="7" t="s">
        <v>224</v>
      </c>
      <c r="O35" s="7" t="s">
        <v>174</v>
      </c>
    </row>
    <row r="36" customFormat="false" ht="23.85" hidden="false" customHeight="false" outlineLevel="0" collapsed="false">
      <c r="A36" s="7" t="s">
        <v>225</v>
      </c>
      <c r="B36" s="7" t="s">
        <v>85</v>
      </c>
      <c r="C36" s="7" t="s">
        <v>207</v>
      </c>
      <c r="D36" s="7" t="s">
        <v>85</v>
      </c>
      <c r="E36" s="7" t="s">
        <v>207</v>
      </c>
      <c r="F36" s="7"/>
      <c r="G36" s="7" t="n">
        <v>3</v>
      </c>
      <c r="H36" s="7" t="s">
        <v>71</v>
      </c>
      <c r="I36" s="7"/>
      <c r="J36" s="7"/>
      <c r="K36" s="7" t="n">
        <f aca="false">IF(LEFT(H36,10)="Merge into",0,1)</f>
        <v>1</v>
      </c>
      <c r="L36" s="7" t="n">
        <v>0</v>
      </c>
      <c r="M36" s="7" t="s">
        <v>226</v>
      </c>
      <c r="N36" s="7" t="s">
        <v>227</v>
      </c>
      <c r="O36" s="7"/>
    </row>
    <row r="37" customFormat="false" ht="15" hidden="false" customHeight="false" outlineLevel="0" collapsed="false">
      <c r="A37" s="7" t="s">
        <v>228</v>
      </c>
      <c r="B37" s="7" t="s">
        <v>85</v>
      </c>
      <c r="C37" s="7" t="s">
        <v>207</v>
      </c>
      <c r="D37" s="7" t="s">
        <v>85</v>
      </c>
      <c r="E37" s="7" t="s">
        <v>207</v>
      </c>
      <c r="F37" s="7" t="s">
        <v>229</v>
      </c>
      <c r="G37" s="7" t="n">
        <v>3</v>
      </c>
      <c r="H37" s="7" t="s">
        <v>71</v>
      </c>
      <c r="I37" s="7"/>
      <c r="J37" s="7"/>
      <c r="K37" s="7" t="n">
        <f aca="false">IF(LEFT(H37,10)="Merge into",0,1)</f>
        <v>1</v>
      </c>
      <c r="L37" s="7" t="n">
        <v>0</v>
      </c>
      <c r="M37" s="7" t="s">
        <v>230</v>
      </c>
      <c r="N37" s="7" t="s">
        <v>231</v>
      </c>
      <c r="O37" s="7"/>
    </row>
    <row r="38" customFormat="false" ht="15" hidden="false" customHeight="false" outlineLevel="0" collapsed="false">
      <c r="A38" s="7" t="s">
        <v>232</v>
      </c>
      <c r="B38" s="7" t="s">
        <v>85</v>
      </c>
      <c r="C38" s="7" t="s">
        <v>233</v>
      </c>
      <c r="D38" s="7" t="s">
        <v>40</v>
      </c>
      <c r="E38" s="7" t="s">
        <v>56</v>
      </c>
      <c r="F38" s="7"/>
      <c r="G38" s="7" t="n">
        <v>1</v>
      </c>
      <c r="H38" s="7" t="s">
        <v>234</v>
      </c>
      <c r="I38" s="7" t="s">
        <v>57</v>
      </c>
      <c r="J38" s="7" t="s">
        <v>58</v>
      </c>
      <c r="K38" s="7" t="n">
        <f aca="false">IF(LEFT(H38,10)="Merge into",0,1)</f>
        <v>0</v>
      </c>
      <c r="L38" s="7" t="n">
        <v>1</v>
      </c>
      <c r="M38" s="7" t="s">
        <v>235</v>
      </c>
      <c r="N38" s="7" t="s">
        <v>236</v>
      </c>
      <c r="O38" s="7"/>
    </row>
    <row r="39" customFormat="false" ht="15" hidden="false" customHeight="false" outlineLevel="0" collapsed="false">
      <c r="A39" s="7" t="s">
        <v>237</v>
      </c>
      <c r="B39" s="7" t="s">
        <v>85</v>
      </c>
      <c r="C39" s="7" t="s">
        <v>233</v>
      </c>
      <c r="D39" s="7" t="s">
        <v>40</v>
      </c>
      <c r="E39" s="7" t="s">
        <v>233</v>
      </c>
      <c r="F39" s="7"/>
      <c r="G39" s="7" t="n">
        <v>2</v>
      </c>
      <c r="H39" s="7" t="s">
        <v>71</v>
      </c>
      <c r="I39" s="7"/>
      <c r="J39" s="7"/>
      <c r="K39" s="7" t="n">
        <f aca="false">IF(LEFT(H39,10)="Merge into",0,1)</f>
        <v>1</v>
      </c>
      <c r="L39" s="7" t="n">
        <v>1</v>
      </c>
      <c r="M39" s="7" t="s">
        <v>238</v>
      </c>
      <c r="N39" s="7" t="s">
        <v>239</v>
      </c>
      <c r="O39" s="7" t="s">
        <v>240</v>
      </c>
    </row>
    <row r="40" customFormat="false" ht="15" hidden="false" customHeight="false" outlineLevel="0" collapsed="false">
      <c r="A40" s="7" t="s">
        <v>241</v>
      </c>
      <c r="B40" s="7" t="s">
        <v>85</v>
      </c>
      <c r="C40" s="7" t="s">
        <v>233</v>
      </c>
      <c r="D40" s="7" t="s">
        <v>40</v>
      </c>
      <c r="E40" s="7" t="s">
        <v>229</v>
      </c>
      <c r="F40" s="7"/>
      <c r="G40" s="7" t="n">
        <v>2</v>
      </c>
      <c r="H40" s="7" t="s">
        <v>242</v>
      </c>
      <c r="I40" s="7"/>
      <c r="J40" s="7" t="s">
        <v>243</v>
      </c>
      <c r="K40" s="7" t="n">
        <f aca="false">IF(LEFT(H40,10)="Merge into",0,1)</f>
        <v>1</v>
      </c>
      <c r="L40" s="7" t="n">
        <v>1</v>
      </c>
      <c r="M40" s="7" t="s">
        <v>244</v>
      </c>
      <c r="N40" s="7" t="s">
        <v>245</v>
      </c>
      <c r="O40" s="7"/>
    </row>
    <row r="41" customFormat="false" ht="23.85" hidden="false" customHeight="false" outlineLevel="0" collapsed="false">
      <c r="A41" s="7" t="s">
        <v>246</v>
      </c>
      <c r="B41" s="7" t="s">
        <v>85</v>
      </c>
      <c r="C41" s="7" t="s">
        <v>233</v>
      </c>
      <c r="D41" s="7" t="s">
        <v>40</v>
      </c>
      <c r="E41" s="7" t="s">
        <v>229</v>
      </c>
      <c r="F41" s="7"/>
      <c r="G41" s="7" t="n">
        <v>1</v>
      </c>
      <c r="H41" s="7" t="s">
        <v>63</v>
      </c>
      <c r="I41" s="7"/>
      <c r="J41" s="7" t="s">
        <v>247</v>
      </c>
      <c r="K41" s="7" t="n">
        <f aca="false">IF(LEFT(H41,10)="Merge into",0,1)</f>
        <v>1</v>
      </c>
      <c r="L41" s="7" t="n">
        <v>0</v>
      </c>
      <c r="M41" s="7" t="s">
        <v>248</v>
      </c>
      <c r="N41" s="7" t="s">
        <v>249</v>
      </c>
      <c r="O41" s="7" t="s">
        <v>250</v>
      </c>
    </row>
    <row r="42" customFormat="false" ht="15" hidden="false" customHeight="false" outlineLevel="0" collapsed="false">
      <c r="A42" s="7" t="s">
        <v>251</v>
      </c>
      <c r="B42" s="7" t="s">
        <v>85</v>
      </c>
      <c r="C42" s="7" t="s">
        <v>233</v>
      </c>
      <c r="D42" s="7" t="s">
        <v>85</v>
      </c>
      <c r="E42" s="7" t="s">
        <v>136</v>
      </c>
      <c r="F42" s="7"/>
      <c r="G42" s="7" t="n">
        <v>3</v>
      </c>
      <c r="H42" s="7" t="s">
        <v>71</v>
      </c>
      <c r="I42" s="7"/>
      <c r="J42" s="7" t="s">
        <v>252</v>
      </c>
      <c r="K42" s="7" t="n">
        <f aca="false">IF(LEFT(H42,10)="Merge into",0,1)</f>
        <v>1</v>
      </c>
      <c r="L42" s="7" t="n">
        <v>0</v>
      </c>
      <c r="M42" s="7" t="s">
        <v>253</v>
      </c>
      <c r="N42" s="7" t="s">
        <v>254</v>
      </c>
      <c r="O42" s="7" t="s">
        <v>255</v>
      </c>
    </row>
    <row r="43" customFormat="false" ht="15" hidden="false" customHeight="false" outlineLevel="0" collapsed="false">
      <c r="A43" s="7" t="s">
        <v>256</v>
      </c>
      <c r="B43" s="7" t="s">
        <v>85</v>
      </c>
      <c r="C43" s="7" t="s">
        <v>233</v>
      </c>
      <c r="D43" s="7" t="s">
        <v>85</v>
      </c>
      <c r="E43" s="7" t="s">
        <v>105</v>
      </c>
      <c r="F43" s="7" t="s">
        <v>136</v>
      </c>
      <c r="G43" s="7" t="n">
        <v>2</v>
      </c>
      <c r="H43" s="7" t="s">
        <v>71</v>
      </c>
      <c r="I43" s="7"/>
      <c r="J43" s="7" t="s">
        <v>257</v>
      </c>
      <c r="K43" s="7" t="n">
        <f aca="false">IF(LEFT(H43,10)="Merge into",0,1)</f>
        <v>1</v>
      </c>
      <c r="L43" s="7" t="n">
        <v>1</v>
      </c>
      <c r="M43" s="7" t="s">
        <v>258</v>
      </c>
      <c r="N43" s="7" t="s">
        <v>259</v>
      </c>
      <c r="O43" s="7" t="s">
        <v>260</v>
      </c>
    </row>
    <row r="44" customFormat="false" ht="23.85" hidden="false" customHeight="false" outlineLevel="0" collapsed="false">
      <c r="A44" s="7" t="s">
        <v>261</v>
      </c>
      <c r="B44" s="7" t="s">
        <v>85</v>
      </c>
      <c r="C44" s="7" t="s">
        <v>233</v>
      </c>
      <c r="D44" s="7" t="s">
        <v>40</v>
      </c>
      <c r="E44" s="7" t="s">
        <v>76</v>
      </c>
      <c r="F44" s="7" t="s">
        <v>112</v>
      </c>
      <c r="G44" s="7" t="n">
        <v>2</v>
      </c>
      <c r="H44" s="7" t="s">
        <v>63</v>
      </c>
      <c r="I44" s="7"/>
      <c r="J44" s="7" t="s">
        <v>262</v>
      </c>
      <c r="K44" s="7" t="n">
        <f aca="false">IF(LEFT(H44,10)="Merge into",0,1)</f>
        <v>1</v>
      </c>
      <c r="L44" s="7" t="n">
        <v>0</v>
      </c>
      <c r="M44" s="7" t="s">
        <v>263</v>
      </c>
      <c r="N44" s="7" t="s">
        <v>264</v>
      </c>
      <c r="O44" s="7" t="s">
        <v>265</v>
      </c>
    </row>
    <row r="45" customFormat="false" ht="23.85" hidden="false" customHeight="false" outlineLevel="0" collapsed="false">
      <c r="A45" s="7" t="s">
        <v>266</v>
      </c>
      <c r="B45" s="7" t="s">
        <v>85</v>
      </c>
      <c r="C45" s="7" t="s">
        <v>76</v>
      </c>
      <c r="D45" s="7" t="s">
        <v>40</v>
      </c>
      <c r="E45" s="7" t="s">
        <v>77</v>
      </c>
      <c r="F45" s="7"/>
      <c r="G45" s="7" t="n">
        <v>1</v>
      </c>
      <c r="H45" s="7" t="s">
        <v>267</v>
      </c>
      <c r="I45" s="7" t="s">
        <v>79</v>
      </c>
      <c r="J45" s="7" t="s">
        <v>268</v>
      </c>
      <c r="K45" s="7" t="n">
        <f aca="false">IF(LEFT(H45,10)="Merge into",0,1)</f>
        <v>0</v>
      </c>
      <c r="L45" s="7" t="n">
        <v>5</v>
      </c>
      <c r="M45" s="7" t="s">
        <v>269</v>
      </c>
      <c r="N45" s="7" t="s">
        <v>270</v>
      </c>
      <c r="O45" s="7" t="s">
        <v>271</v>
      </c>
    </row>
    <row r="46" customFormat="false" ht="15" hidden="false" customHeight="false" outlineLevel="0" collapsed="false">
      <c r="A46" s="7" t="s">
        <v>272</v>
      </c>
      <c r="B46" s="7" t="s">
        <v>85</v>
      </c>
      <c r="C46" s="7" t="s">
        <v>76</v>
      </c>
      <c r="D46" s="7" t="s">
        <v>40</v>
      </c>
      <c r="E46" s="7" t="s">
        <v>76</v>
      </c>
      <c r="F46" s="7"/>
      <c r="G46" s="7" t="n">
        <v>2</v>
      </c>
      <c r="H46" s="7" t="s">
        <v>273</v>
      </c>
      <c r="I46" s="7"/>
      <c r="J46" s="7"/>
      <c r="K46" s="7" t="n">
        <f aca="false">IF(LEFT(H46,10)="Merge into",0,1)</f>
        <v>1</v>
      </c>
      <c r="L46" s="7" t="n">
        <v>2</v>
      </c>
      <c r="M46" s="7" t="s">
        <v>274</v>
      </c>
      <c r="N46" s="7" t="s">
        <v>275</v>
      </c>
      <c r="O46" s="7" t="s">
        <v>276</v>
      </c>
    </row>
    <row r="47" customFormat="false" ht="15" hidden="false" customHeight="false" outlineLevel="0" collapsed="false">
      <c r="A47" s="7" t="s">
        <v>277</v>
      </c>
      <c r="B47" s="7" t="s">
        <v>85</v>
      </c>
      <c r="C47" s="7" t="s">
        <v>76</v>
      </c>
      <c r="D47" s="7" t="s">
        <v>40</v>
      </c>
      <c r="E47" s="7" t="s">
        <v>136</v>
      </c>
      <c r="F47" s="7" t="s">
        <v>76</v>
      </c>
      <c r="G47" s="7" t="n">
        <v>2</v>
      </c>
      <c r="H47" s="7" t="s">
        <v>71</v>
      </c>
      <c r="I47" s="7"/>
      <c r="J47" s="7"/>
      <c r="K47" s="7" t="n">
        <f aca="false">IF(LEFT(H47,10)="Merge into",0,1)</f>
        <v>1</v>
      </c>
      <c r="L47" s="7" t="n">
        <v>1</v>
      </c>
      <c r="M47" s="7" t="s">
        <v>278</v>
      </c>
      <c r="N47" s="7" t="s">
        <v>279</v>
      </c>
      <c r="O47" s="7"/>
    </row>
    <row r="48" customFormat="false" ht="15" hidden="false" customHeight="false" outlineLevel="0" collapsed="false">
      <c r="A48" s="7" t="s">
        <v>280</v>
      </c>
      <c r="B48" s="7" t="s">
        <v>85</v>
      </c>
      <c r="C48" s="7" t="s">
        <v>76</v>
      </c>
      <c r="D48" s="7" t="s">
        <v>40</v>
      </c>
      <c r="E48" s="7" t="s">
        <v>161</v>
      </c>
      <c r="F48" s="7"/>
      <c r="G48" s="7" t="n">
        <v>1</v>
      </c>
      <c r="H48" s="7" t="s">
        <v>281</v>
      </c>
      <c r="I48" s="7" t="s">
        <v>162</v>
      </c>
      <c r="J48" s="7" t="s">
        <v>163</v>
      </c>
      <c r="K48" s="7" t="n">
        <f aca="false">IF(LEFT(H48,10)="Merge into",0,1)</f>
        <v>0</v>
      </c>
      <c r="L48" s="7" t="n">
        <v>0</v>
      </c>
      <c r="M48" s="7" t="s">
        <v>282</v>
      </c>
      <c r="N48" s="7" t="s">
        <v>283</v>
      </c>
      <c r="O48" s="7"/>
    </row>
  </sheetData>
  <autoFilter ref="A1:O48"/>
  <conditionalFormatting sqref="H2:H48">
    <cfRule type="expression" priority="2" aboveAverage="0" equalAverage="0" bottom="0" percent="0" rank="0" text="" dxfId="6">
      <formula>ISNUMBER(SEARCH("CONFLICT",H2))</formula>
    </cfRule>
    <cfRule type="expression" priority="3" aboveAverage="0" equalAverage="0" bottom="0" percent="0" rank="0" text="" dxfId="7">
      <formula>LEFT(H2,10)="Merge into"</formula>
    </cfRule>
    <cfRule type="expression" priority="4" aboveAverage="0" equalAverage="0" bottom="0" percent="0" rank="0" text="" dxfId="8">
      <formula>OR(LEFT(H2,8)="Survivor",ISNUMBER(SEARCH("+ diff",H2)))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5" min="4" style="0" width="34"/>
    <col collapsed="false" customWidth="true" hidden="false" outlineLevel="0" max="6" min="6" style="0" width="50"/>
    <col collapsed="false" customWidth="true" hidden="false" outlineLevel="0" max="7" min="7" style="0" width="9"/>
    <col collapsed="false" customWidth="true" hidden="false" outlineLevel="0" max="8" min="8" style="0" width="16"/>
  </cols>
  <sheetData>
    <row r="1" customFormat="false" ht="30" hidden="false" customHeight="true" outlineLevel="0" collapsed="false">
      <c r="A1" s="6" t="s">
        <v>284</v>
      </c>
      <c r="B1" s="6" t="s">
        <v>26</v>
      </c>
      <c r="C1" s="6" t="s">
        <v>34</v>
      </c>
      <c r="D1" s="6" t="s">
        <v>285</v>
      </c>
      <c r="E1" s="6" t="s">
        <v>286</v>
      </c>
      <c r="F1" s="6" t="s">
        <v>287</v>
      </c>
      <c r="G1" s="6" t="s">
        <v>288</v>
      </c>
      <c r="H1" s="6" t="s">
        <v>289</v>
      </c>
    </row>
    <row r="2" customFormat="false" ht="15" hidden="false" customHeight="false" outlineLevel="0" collapsed="false">
      <c r="A2" s="7" t="s">
        <v>44</v>
      </c>
      <c r="B2" s="7" t="s">
        <v>41</v>
      </c>
      <c r="C2" s="7" t="s">
        <v>290</v>
      </c>
      <c r="D2" s="7" t="s">
        <v>291</v>
      </c>
      <c r="E2" s="7" t="s">
        <v>292</v>
      </c>
      <c r="F2" s="7" t="s">
        <v>293</v>
      </c>
      <c r="G2" s="7" t="s">
        <v>294</v>
      </c>
      <c r="H2" s="7" t="s">
        <v>295</v>
      </c>
    </row>
    <row r="3" customFormat="false" ht="15" hidden="false" customHeight="false" outlineLevel="0" collapsed="false">
      <c r="A3" s="7" t="s">
        <v>296</v>
      </c>
      <c r="B3" s="7" t="s">
        <v>41</v>
      </c>
      <c r="C3" s="7" t="s">
        <v>297</v>
      </c>
      <c r="D3" s="7" t="s">
        <v>298</v>
      </c>
      <c r="E3" s="7"/>
      <c r="F3" s="7"/>
      <c r="G3" s="7"/>
      <c r="H3" s="7" t="s">
        <v>299</v>
      </c>
    </row>
    <row r="4" customFormat="false" ht="15" hidden="false" customHeight="false" outlineLevel="0" collapsed="false">
      <c r="A4" s="7" t="s">
        <v>99</v>
      </c>
      <c r="B4" s="7" t="s">
        <v>41</v>
      </c>
      <c r="C4" s="7" t="s">
        <v>300</v>
      </c>
      <c r="D4" s="7" t="s">
        <v>301</v>
      </c>
      <c r="E4" s="7" t="s">
        <v>97</v>
      </c>
      <c r="F4" s="7" t="s">
        <v>302</v>
      </c>
      <c r="G4" s="7"/>
      <c r="H4" s="7" t="s">
        <v>303</v>
      </c>
    </row>
    <row r="5" customFormat="false" ht="15" hidden="false" customHeight="false" outlineLevel="0" collapsed="false">
      <c r="A5" s="7" t="s">
        <v>304</v>
      </c>
      <c r="B5" s="7" t="s">
        <v>41</v>
      </c>
      <c r="C5" s="7" t="s">
        <v>305</v>
      </c>
      <c r="D5" s="7" t="s">
        <v>291</v>
      </c>
      <c r="E5" s="7" t="s">
        <v>91</v>
      </c>
      <c r="F5" s="7" t="s">
        <v>306</v>
      </c>
      <c r="G5" s="7" t="s">
        <v>307</v>
      </c>
      <c r="H5" s="7" t="s">
        <v>308</v>
      </c>
    </row>
    <row r="6" customFormat="false" ht="15" hidden="false" customHeight="false" outlineLevel="0" collapsed="false">
      <c r="A6" s="7" t="s">
        <v>309</v>
      </c>
      <c r="B6" s="7" t="s">
        <v>41</v>
      </c>
      <c r="C6" s="7" t="s">
        <v>310</v>
      </c>
      <c r="D6" s="7" t="s">
        <v>298</v>
      </c>
      <c r="E6" s="7"/>
      <c r="F6" s="7" t="s">
        <v>311</v>
      </c>
      <c r="G6" s="7" t="s">
        <v>307</v>
      </c>
      <c r="H6" s="7" t="s">
        <v>299</v>
      </c>
    </row>
    <row r="7" customFormat="false" ht="15" hidden="false" customHeight="false" outlineLevel="0" collapsed="false">
      <c r="A7" s="7" t="s">
        <v>51</v>
      </c>
      <c r="B7" s="7" t="s">
        <v>48</v>
      </c>
      <c r="C7" s="7" t="s">
        <v>312</v>
      </c>
      <c r="D7" s="7" t="s">
        <v>291</v>
      </c>
      <c r="E7" s="7" t="s">
        <v>313</v>
      </c>
      <c r="F7" s="7" t="s">
        <v>314</v>
      </c>
      <c r="G7" s="7" t="s">
        <v>315</v>
      </c>
      <c r="H7" s="7" t="s">
        <v>299</v>
      </c>
    </row>
    <row r="8" customFormat="false" ht="23.85" hidden="false" customHeight="false" outlineLevel="0" collapsed="false">
      <c r="A8" s="7" t="s">
        <v>64</v>
      </c>
      <c r="B8" s="7" t="s">
        <v>49</v>
      </c>
      <c r="C8" s="7" t="s">
        <v>316</v>
      </c>
      <c r="D8" s="7" t="s">
        <v>291</v>
      </c>
      <c r="E8" s="7" t="s">
        <v>62</v>
      </c>
      <c r="F8" s="7" t="s">
        <v>317</v>
      </c>
      <c r="G8" s="7" t="s">
        <v>318</v>
      </c>
      <c r="H8" s="7" t="s">
        <v>308</v>
      </c>
    </row>
    <row r="9" customFormat="false" ht="15" hidden="false" customHeight="false" outlineLevel="0" collapsed="false">
      <c r="A9" s="7" t="s">
        <v>319</v>
      </c>
      <c r="B9" s="7" t="s">
        <v>77</v>
      </c>
      <c r="C9" s="7" t="s">
        <v>320</v>
      </c>
      <c r="D9" s="7" t="s">
        <v>291</v>
      </c>
      <c r="E9" s="7" t="s">
        <v>321</v>
      </c>
      <c r="F9" s="7" t="s">
        <v>322</v>
      </c>
      <c r="G9" s="7" t="s">
        <v>323</v>
      </c>
      <c r="H9" s="7" t="s">
        <v>299</v>
      </c>
    </row>
    <row r="10" customFormat="false" ht="15" hidden="false" customHeight="false" outlineLevel="0" collapsed="false">
      <c r="A10" s="7" t="s">
        <v>324</v>
      </c>
      <c r="B10" s="7" t="s">
        <v>77</v>
      </c>
      <c r="C10" s="7" t="s">
        <v>325</v>
      </c>
      <c r="D10" s="7" t="s">
        <v>298</v>
      </c>
      <c r="E10" s="7"/>
      <c r="F10" s="7"/>
      <c r="G10" s="7"/>
      <c r="H10" s="7" t="s">
        <v>295</v>
      </c>
    </row>
    <row r="11" customFormat="false" ht="23.85" hidden="false" customHeight="false" outlineLevel="0" collapsed="false">
      <c r="A11" s="7" t="s">
        <v>326</v>
      </c>
      <c r="B11" s="7" t="s">
        <v>77</v>
      </c>
      <c r="C11" s="7" t="s">
        <v>327</v>
      </c>
      <c r="D11" s="7" t="s">
        <v>291</v>
      </c>
      <c r="E11" s="7" t="s">
        <v>266</v>
      </c>
      <c r="F11" s="7" t="s">
        <v>328</v>
      </c>
      <c r="G11" s="7" t="s">
        <v>323</v>
      </c>
      <c r="H11" s="7" t="s">
        <v>299</v>
      </c>
    </row>
    <row r="12" customFormat="false" ht="15" hidden="false" customHeight="false" outlineLevel="0" collapsed="false">
      <c r="A12" s="7" t="s">
        <v>262</v>
      </c>
      <c r="B12" s="7" t="s">
        <v>76</v>
      </c>
      <c r="C12" s="7" t="s">
        <v>329</v>
      </c>
      <c r="D12" s="7" t="s">
        <v>291</v>
      </c>
      <c r="E12" s="7" t="s">
        <v>261</v>
      </c>
      <c r="F12" s="7" t="s">
        <v>330</v>
      </c>
      <c r="G12" s="7" t="s">
        <v>331</v>
      </c>
      <c r="H12" s="7" t="s">
        <v>308</v>
      </c>
    </row>
    <row r="13" customFormat="false" ht="15" hidden="false" customHeight="false" outlineLevel="0" collapsed="false">
      <c r="A13" s="7" t="s">
        <v>118</v>
      </c>
      <c r="B13" s="7" t="s">
        <v>116</v>
      </c>
      <c r="C13" s="7" t="s">
        <v>332</v>
      </c>
      <c r="D13" s="7" t="s">
        <v>301</v>
      </c>
      <c r="E13" s="7" t="s">
        <v>115</v>
      </c>
      <c r="F13" s="7" t="s">
        <v>333</v>
      </c>
      <c r="G13" s="7"/>
      <c r="H13" s="7" t="s">
        <v>308</v>
      </c>
    </row>
    <row r="14" customFormat="false" ht="15" hidden="false" customHeight="false" outlineLevel="0" collapsed="false">
      <c r="A14" s="7" t="s">
        <v>58</v>
      </c>
      <c r="B14" s="7" t="s">
        <v>56</v>
      </c>
      <c r="C14" s="7" t="s">
        <v>334</v>
      </c>
      <c r="D14" s="7" t="s">
        <v>291</v>
      </c>
      <c r="E14" s="7" t="s">
        <v>335</v>
      </c>
      <c r="F14" s="7" t="s">
        <v>336</v>
      </c>
      <c r="G14" s="7" t="s">
        <v>337</v>
      </c>
      <c r="H14" s="7" t="s">
        <v>299</v>
      </c>
    </row>
    <row r="15" customFormat="false" ht="15" hidden="false" customHeight="false" outlineLevel="0" collapsed="false">
      <c r="A15" s="7" t="s">
        <v>338</v>
      </c>
      <c r="B15" s="7" t="s">
        <v>339</v>
      </c>
      <c r="C15" s="7" t="s">
        <v>340</v>
      </c>
      <c r="D15" s="7" t="s">
        <v>298</v>
      </c>
      <c r="E15" s="7"/>
      <c r="F15" s="7"/>
      <c r="G15" s="7"/>
      <c r="H15" s="7" t="s">
        <v>295</v>
      </c>
    </row>
    <row r="16" customFormat="false" ht="15" hidden="false" customHeight="false" outlineLevel="0" collapsed="false">
      <c r="A16" s="7" t="s">
        <v>341</v>
      </c>
      <c r="B16" s="7" t="s">
        <v>339</v>
      </c>
      <c r="C16" s="7" t="s">
        <v>342</v>
      </c>
      <c r="D16" s="7" t="s">
        <v>298</v>
      </c>
      <c r="E16" s="7"/>
      <c r="F16" s="7"/>
      <c r="G16" s="7"/>
      <c r="H16" s="7" t="s">
        <v>295</v>
      </c>
    </row>
    <row r="17" customFormat="false" ht="15" hidden="false" customHeight="false" outlineLevel="0" collapsed="false">
      <c r="A17" s="7" t="s">
        <v>343</v>
      </c>
      <c r="B17" s="7" t="s">
        <v>339</v>
      </c>
      <c r="C17" s="7" t="s">
        <v>344</v>
      </c>
      <c r="D17" s="7" t="s">
        <v>298</v>
      </c>
      <c r="E17" s="7"/>
      <c r="F17" s="7"/>
      <c r="G17" s="7"/>
      <c r="H17" s="7" t="s">
        <v>299</v>
      </c>
    </row>
    <row r="18" customFormat="false" ht="15" hidden="false" customHeight="false" outlineLevel="0" collapsed="false">
      <c r="A18" s="7" t="s">
        <v>345</v>
      </c>
      <c r="B18" s="7" t="s">
        <v>339</v>
      </c>
      <c r="C18" s="7" t="s">
        <v>346</v>
      </c>
      <c r="D18" s="7" t="s">
        <v>298</v>
      </c>
      <c r="E18" s="7"/>
      <c r="F18" s="7"/>
      <c r="G18" s="7"/>
      <c r="H18" s="7" t="s">
        <v>308</v>
      </c>
    </row>
    <row r="19" customFormat="false" ht="15" hidden="false" customHeight="false" outlineLevel="0" collapsed="false">
      <c r="A19" s="7" t="s">
        <v>347</v>
      </c>
      <c r="B19" s="7" t="s">
        <v>112</v>
      </c>
      <c r="C19" s="7" t="s">
        <v>348</v>
      </c>
      <c r="D19" s="7" t="s">
        <v>298</v>
      </c>
      <c r="E19" s="7"/>
      <c r="F19" s="7"/>
      <c r="G19" s="7"/>
      <c r="H19" s="7" t="s">
        <v>295</v>
      </c>
    </row>
    <row r="20" customFormat="false" ht="15" hidden="false" customHeight="false" outlineLevel="0" collapsed="false">
      <c r="A20" s="7" t="s">
        <v>349</v>
      </c>
      <c r="B20" s="7" t="s">
        <v>112</v>
      </c>
      <c r="C20" s="7" t="s">
        <v>350</v>
      </c>
      <c r="D20" s="7" t="s">
        <v>298</v>
      </c>
      <c r="E20" s="7"/>
      <c r="F20" s="7"/>
      <c r="G20" s="7"/>
      <c r="H20" s="7" t="s">
        <v>308</v>
      </c>
    </row>
    <row r="21" customFormat="false" ht="15" hidden="false" customHeight="false" outlineLevel="0" collapsed="false">
      <c r="A21" s="7" t="s">
        <v>131</v>
      </c>
      <c r="B21" s="7" t="s">
        <v>112</v>
      </c>
      <c r="C21" s="7" t="s">
        <v>351</v>
      </c>
      <c r="D21" s="7" t="s">
        <v>291</v>
      </c>
      <c r="E21" s="7" t="s">
        <v>129</v>
      </c>
      <c r="F21" s="7" t="s">
        <v>352</v>
      </c>
      <c r="G21" s="7" t="s">
        <v>353</v>
      </c>
      <c r="H21" s="7" t="s">
        <v>308</v>
      </c>
    </row>
    <row r="22" customFormat="false" ht="23.85" hidden="false" customHeight="false" outlineLevel="0" collapsed="false">
      <c r="A22" s="7" t="s">
        <v>354</v>
      </c>
      <c r="B22" s="7" t="s">
        <v>112</v>
      </c>
      <c r="C22" s="7" t="s">
        <v>355</v>
      </c>
      <c r="D22" s="7" t="s">
        <v>298</v>
      </c>
      <c r="E22" s="7"/>
      <c r="F22" s="7"/>
      <c r="G22" s="7"/>
      <c r="H22" s="7" t="s">
        <v>299</v>
      </c>
    </row>
    <row r="23" customFormat="false" ht="15" hidden="false" customHeight="false" outlineLevel="0" collapsed="false">
      <c r="A23" s="7" t="s">
        <v>144</v>
      </c>
      <c r="B23" s="7" t="s">
        <v>136</v>
      </c>
      <c r="C23" s="7" t="s">
        <v>356</v>
      </c>
      <c r="D23" s="7" t="s">
        <v>301</v>
      </c>
      <c r="E23" s="7" t="s">
        <v>142</v>
      </c>
      <c r="F23" s="7" t="s">
        <v>357</v>
      </c>
      <c r="G23" s="7"/>
      <c r="H23" s="7" t="s">
        <v>303</v>
      </c>
    </row>
    <row r="24" customFormat="false" ht="15" hidden="false" customHeight="false" outlineLevel="0" collapsed="false">
      <c r="A24" s="7" t="s">
        <v>138</v>
      </c>
      <c r="B24" s="7" t="s">
        <v>136</v>
      </c>
      <c r="C24" s="7" t="s">
        <v>358</v>
      </c>
      <c r="D24" s="7" t="s">
        <v>301</v>
      </c>
      <c r="E24" s="7" t="s">
        <v>135</v>
      </c>
      <c r="F24" s="7" t="s">
        <v>359</v>
      </c>
      <c r="G24" s="7"/>
      <c r="H24" s="7" t="s">
        <v>303</v>
      </c>
    </row>
    <row r="25" customFormat="false" ht="15" hidden="false" customHeight="false" outlineLevel="0" collapsed="false">
      <c r="A25" s="7" t="s">
        <v>360</v>
      </c>
      <c r="B25" s="7" t="s">
        <v>136</v>
      </c>
      <c r="C25" s="7" t="s">
        <v>361</v>
      </c>
      <c r="D25" s="7" t="s">
        <v>298</v>
      </c>
      <c r="E25" s="7"/>
      <c r="F25" s="7"/>
      <c r="G25" s="7"/>
      <c r="H25" s="7" t="s">
        <v>299</v>
      </c>
    </row>
    <row r="26" customFormat="false" ht="15" hidden="false" customHeight="false" outlineLevel="0" collapsed="false">
      <c r="A26" s="7" t="s">
        <v>252</v>
      </c>
      <c r="B26" s="7" t="s">
        <v>136</v>
      </c>
      <c r="C26" s="7" t="s">
        <v>362</v>
      </c>
      <c r="D26" s="7" t="s">
        <v>298</v>
      </c>
      <c r="E26" s="7" t="s">
        <v>363</v>
      </c>
      <c r="F26" s="7" t="s">
        <v>364</v>
      </c>
      <c r="G26" s="7"/>
      <c r="H26" s="7" t="s">
        <v>299</v>
      </c>
    </row>
    <row r="27" customFormat="false" ht="15" hidden="false" customHeight="false" outlineLevel="0" collapsed="false">
      <c r="A27" s="7" t="s">
        <v>365</v>
      </c>
      <c r="B27" s="7" t="s">
        <v>229</v>
      </c>
      <c r="C27" s="7" t="s">
        <v>366</v>
      </c>
      <c r="D27" s="7" t="s">
        <v>301</v>
      </c>
      <c r="E27" s="7" t="s">
        <v>246</v>
      </c>
      <c r="F27" s="7" t="s">
        <v>367</v>
      </c>
      <c r="G27" s="7" t="s">
        <v>368</v>
      </c>
      <c r="H27" s="7" t="s">
        <v>308</v>
      </c>
    </row>
    <row r="28" customFormat="false" ht="15" hidden="false" customHeight="false" outlineLevel="0" collapsed="false">
      <c r="A28" s="7" t="s">
        <v>369</v>
      </c>
      <c r="B28" s="7" t="s">
        <v>229</v>
      </c>
      <c r="C28" s="7" t="s">
        <v>370</v>
      </c>
      <c r="D28" s="7" t="s">
        <v>298</v>
      </c>
      <c r="E28" s="7" t="s">
        <v>371</v>
      </c>
      <c r="F28" s="7"/>
      <c r="G28" s="7"/>
      <c r="H28" s="7" t="s">
        <v>295</v>
      </c>
    </row>
    <row r="29" customFormat="false" ht="15" hidden="false" customHeight="false" outlineLevel="0" collapsed="false">
      <c r="A29" s="7" t="s">
        <v>243</v>
      </c>
      <c r="B29" s="7" t="s">
        <v>229</v>
      </c>
      <c r="C29" s="7" t="s">
        <v>372</v>
      </c>
      <c r="D29" s="7" t="s">
        <v>301</v>
      </c>
      <c r="E29" s="7" t="s">
        <v>241</v>
      </c>
      <c r="F29" s="7" t="s">
        <v>357</v>
      </c>
      <c r="G29" s="7"/>
      <c r="H29" s="7" t="s">
        <v>303</v>
      </c>
    </row>
    <row r="30" customFormat="false" ht="15" hidden="false" customHeight="false" outlineLevel="0" collapsed="false">
      <c r="A30" s="7" t="s">
        <v>373</v>
      </c>
      <c r="B30" s="7" t="s">
        <v>374</v>
      </c>
      <c r="C30" s="7" t="s">
        <v>375</v>
      </c>
      <c r="D30" s="7" t="s">
        <v>298</v>
      </c>
      <c r="E30" s="7"/>
      <c r="F30" s="7"/>
      <c r="G30" s="7"/>
      <c r="H30" s="7" t="s">
        <v>308</v>
      </c>
    </row>
    <row r="31" customFormat="false" ht="15" hidden="false" customHeight="false" outlineLevel="0" collapsed="false">
      <c r="A31" s="7" t="s">
        <v>376</v>
      </c>
      <c r="B31" s="7" t="s">
        <v>216</v>
      </c>
      <c r="C31" s="7" t="s">
        <v>377</v>
      </c>
      <c r="D31" s="7" t="s">
        <v>301</v>
      </c>
      <c r="E31" s="7" t="s">
        <v>215</v>
      </c>
      <c r="F31" s="7" t="s">
        <v>357</v>
      </c>
      <c r="G31" s="7"/>
      <c r="H31" s="7" t="s">
        <v>303</v>
      </c>
    </row>
    <row r="32" customFormat="false" ht="15" hidden="false" customHeight="false" outlineLevel="0" collapsed="false">
      <c r="A32" s="7" t="s">
        <v>378</v>
      </c>
      <c r="B32" s="7" t="s">
        <v>216</v>
      </c>
      <c r="C32" s="7" t="s">
        <v>379</v>
      </c>
      <c r="D32" s="7" t="s">
        <v>298</v>
      </c>
      <c r="E32" s="7" t="s">
        <v>380</v>
      </c>
      <c r="F32" s="7"/>
      <c r="G32" s="7"/>
      <c r="H32" s="7" t="s">
        <v>299</v>
      </c>
    </row>
    <row r="33" customFormat="false" ht="15" hidden="false" customHeight="false" outlineLevel="0" collapsed="false">
      <c r="A33" s="7" t="s">
        <v>163</v>
      </c>
      <c r="B33" s="7" t="s">
        <v>161</v>
      </c>
      <c r="C33" s="7" t="s">
        <v>381</v>
      </c>
      <c r="D33" s="7" t="s">
        <v>291</v>
      </c>
      <c r="E33" s="7" t="s">
        <v>159</v>
      </c>
      <c r="F33" s="7" t="s">
        <v>382</v>
      </c>
      <c r="G33" s="7"/>
      <c r="H33" s="7" t="s">
        <v>299</v>
      </c>
    </row>
    <row r="34" customFormat="false" ht="15" hidden="false" customHeight="false" outlineLevel="0" collapsed="false">
      <c r="A34" s="7" t="s">
        <v>383</v>
      </c>
      <c r="B34" s="7" t="s">
        <v>384</v>
      </c>
      <c r="C34" s="7" t="s">
        <v>385</v>
      </c>
      <c r="D34" s="7" t="s">
        <v>298</v>
      </c>
      <c r="E34" s="7"/>
      <c r="F34" s="7"/>
      <c r="G34" s="7"/>
      <c r="H34" s="7" t="s">
        <v>299</v>
      </c>
    </row>
    <row r="35" customFormat="false" ht="15" hidden="false" customHeight="false" outlineLevel="0" collapsed="false">
      <c r="A35" s="7" t="s">
        <v>107</v>
      </c>
      <c r="B35" s="7" t="s">
        <v>104</v>
      </c>
      <c r="C35" s="7" t="s">
        <v>386</v>
      </c>
      <c r="D35" s="7" t="s">
        <v>291</v>
      </c>
      <c r="E35" s="7" t="s">
        <v>103</v>
      </c>
      <c r="F35" s="7" t="s">
        <v>387</v>
      </c>
      <c r="G35" s="7"/>
      <c r="H35" s="7" t="s">
        <v>299</v>
      </c>
    </row>
    <row r="36" customFormat="false" ht="15" hidden="false" customHeight="false" outlineLevel="0" collapsed="false">
      <c r="A36" s="7" t="s">
        <v>388</v>
      </c>
      <c r="B36" s="7" t="s">
        <v>389</v>
      </c>
      <c r="C36" s="7" t="s">
        <v>390</v>
      </c>
      <c r="D36" s="7" t="s">
        <v>298</v>
      </c>
      <c r="E36" s="7"/>
      <c r="F36" s="7"/>
      <c r="G36" s="7"/>
      <c r="H36" s="7" t="s">
        <v>295</v>
      </c>
    </row>
    <row r="37" customFormat="false" ht="15" hidden="false" customHeight="false" outlineLevel="0" collapsed="false">
      <c r="A37" s="7" t="s">
        <v>257</v>
      </c>
      <c r="B37" s="7" t="s">
        <v>105</v>
      </c>
      <c r="C37" s="7" t="s">
        <v>391</v>
      </c>
      <c r="D37" s="7" t="s">
        <v>298</v>
      </c>
      <c r="E37" s="7" t="s">
        <v>392</v>
      </c>
      <c r="F37" s="7"/>
      <c r="G37" s="7" t="s">
        <v>294</v>
      </c>
      <c r="H37" s="7" t="s">
        <v>308</v>
      </c>
    </row>
    <row r="38" customFormat="false" ht="15" hidden="false" customHeight="false" outlineLevel="0" collapsed="false">
      <c r="A38" s="7" t="s">
        <v>393</v>
      </c>
      <c r="B38" s="7" t="s">
        <v>161</v>
      </c>
      <c r="C38" s="7" t="s">
        <v>394</v>
      </c>
      <c r="D38" s="7" t="s">
        <v>298</v>
      </c>
      <c r="E38" s="7"/>
      <c r="F38" s="7"/>
      <c r="G38" s="7"/>
      <c r="H38" s="7" t="s">
        <v>295</v>
      </c>
    </row>
    <row r="39" customFormat="false" ht="15" hidden="false" customHeight="false" outlineLevel="0" collapsed="false">
      <c r="A39" s="7" t="s">
        <v>395</v>
      </c>
      <c r="B39" s="7" t="s">
        <v>130</v>
      </c>
      <c r="C39" s="7" t="s">
        <v>396</v>
      </c>
      <c r="D39" s="7" t="s">
        <v>298</v>
      </c>
      <c r="E39" s="7"/>
      <c r="F39" s="7"/>
      <c r="G39" s="7"/>
      <c r="H39" s="7" t="s">
        <v>295</v>
      </c>
    </row>
  </sheetData>
  <conditionalFormatting sqref="H2:H39">
    <cfRule type="cellIs" priority="2" operator="equal" aboveAverage="0" equalAverage="0" bottom="0" percent="0" rank="0" text="" dxfId="9">
      <formula>"Ready"</formula>
    </cfRule>
    <cfRule type="cellIs" priority="3" operator="equal" aboveAverage="0" equalAverage="0" bottom="0" percent="0" rank="0" text="" dxfId="8">
      <formula>"Needs confirm"</formula>
    </cfRule>
    <cfRule type="cellIs" priority="4" operator="equal" aboveAverage="0" equalAverage="0" bottom="0" percent="0" rank="0" text="" dxfId="6">
      <formula>"HOLD"</formula>
    </cfRule>
    <cfRule type="cellIs" priority="5" operator="equal" aboveAverage="0" equalAverage="0" bottom="0" percent="0" rank="0" text="" dxfId="7">
      <formula>"Retired"</formula>
    </cfRule>
  </conditionalFormatting>
  <conditionalFormatting sqref="D2:D39">
    <cfRule type="cellIs" priority="6" operator="equal" aboveAverage="0" equalAverage="0" bottom="0" percent="0" rank="0" text="" dxfId="10">
      <formula>"Net new"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5" min="4" style="0" width="56"/>
    <col collapsed="false" customWidth="true" hidden="false" outlineLevel="0" max="6" min="6" style="0" width="32"/>
    <col collapsed="false" customWidth="true" hidden="false" outlineLevel="0" max="7" min="7" style="0" width="50"/>
    <col collapsed="false" customWidth="true" hidden="false" outlineLevel="0" max="8" min="8" style="0" width="20"/>
  </cols>
  <sheetData>
    <row r="1" customFormat="false" ht="30" hidden="false" customHeight="true" outlineLevel="0" collapsed="false">
      <c r="A1" s="6" t="s">
        <v>284</v>
      </c>
      <c r="B1" s="6" t="s">
        <v>26</v>
      </c>
      <c r="C1" s="6" t="s">
        <v>397</v>
      </c>
      <c r="D1" s="6" t="s">
        <v>398</v>
      </c>
      <c r="E1" s="6" t="s">
        <v>399</v>
      </c>
      <c r="F1" s="6" t="s">
        <v>400</v>
      </c>
      <c r="G1" s="6" t="s">
        <v>401</v>
      </c>
      <c r="H1" s="6" t="s">
        <v>402</v>
      </c>
    </row>
    <row r="2" customFormat="false" ht="23.85" hidden="false" customHeight="false" outlineLevel="0" collapsed="false">
      <c r="A2" s="7" t="s">
        <v>318</v>
      </c>
      <c r="B2" s="7" t="s">
        <v>403</v>
      </c>
      <c r="C2" s="7" t="s">
        <v>62</v>
      </c>
      <c r="D2" s="7" t="s">
        <v>404</v>
      </c>
      <c r="E2" s="7" t="s">
        <v>405</v>
      </c>
      <c r="F2" s="7" t="s">
        <v>406</v>
      </c>
      <c r="G2" s="7" t="s">
        <v>407</v>
      </c>
      <c r="H2" s="7" t="s">
        <v>408</v>
      </c>
    </row>
    <row r="3" customFormat="false" ht="23.85" hidden="false" customHeight="false" outlineLevel="0" collapsed="false">
      <c r="A3" s="7" t="s">
        <v>353</v>
      </c>
      <c r="B3" s="7" t="s">
        <v>409</v>
      </c>
      <c r="C3" s="7" t="s">
        <v>129</v>
      </c>
      <c r="D3" s="7" t="s">
        <v>410</v>
      </c>
      <c r="E3" s="7" t="s">
        <v>411</v>
      </c>
      <c r="F3" s="7" t="s">
        <v>412</v>
      </c>
      <c r="G3" s="7" t="s">
        <v>413</v>
      </c>
      <c r="H3" s="7" t="s">
        <v>414</v>
      </c>
    </row>
    <row r="4" customFormat="false" ht="23.85" hidden="false" customHeight="false" outlineLevel="0" collapsed="false">
      <c r="A4" s="7" t="s">
        <v>307</v>
      </c>
      <c r="B4" s="7" t="s">
        <v>415</v>
      </c>
      <c r="C4" s="7" t="s">
        <v>416</v>
      </c>
      <c r="D4" s="7" t="s">
        <v>417</v>
      </c>
      <c r="E4" s="7" t="s">
        <v>418</v>
      </c>
      <c r="F4" s="7" t="s">
        <v>419</v>
      </c>
      <c r="G4" s="7" t="s">
        <v>420</v>
      </c>
      <c r="H4" s="7" t="s">
        <v>93</v>
      </c>
    </row>
    <row r="5" customFormat="false" ht="23.85" hidden="false" customHeight="false" outlineLevel="0" collapsed="false">
      <c r="A5" s="7" t="s">
        <v>331</v>
      </c>
      <c r="B5" s="7" t="s">
        <v>421</v>
      </c>
      <c r="C5" s="7" t="s">
        <v>261</v>
      </c>
      <c r="D5" s="7" t="s">
        <v>422</v>
      </c>
      <c r="E5" s="7" t="s">
        <v>423</v>
      </c>
      <c r="F5" s="7" t="s">
        <v>412</v>
      </c>
      <c r="G5" s="7" t="s">
        <v>424</v>
      </c>
      <c r="H5" s="7" t="s">
        <v>262</v>
      </c>
    </row>
    <row r="6" customFormat="false" ht="46.25" hidden="false" customHeight="false" outlineLevel="0" collapsed="false">
      <c r="A6" s="7" t="s">
        <v>315</v>
      </c>
      <c r="B6" s="7" t="s">
        <v>425</v>
      </c>
      <c r="C6" s="7" t="s">
        <v>426</v>
      </c>
      <c r="D6" s="7" t="s">
        <v>427</v>
      </c>
      <c r="E6" s="7" t="s">
        <v>428</v>
      </c>
      <c r="F6" s="7" t="s">
        <v>429</v>
      </c>
      <c r="G6" s="7" t="s">
        <v>430</v>
      </c>
      <c r="H6" s="7" t="s">
        <v>51</v>
      </c>
    </row>
    <row r="7" customFormat="false" ht="23.85" hidden="false" customHeight="false" outlineLevel="0" collapsed="false">
      <c r="A7" s="7" t="s">
        <v>323</v>
      </c>
      <c r="B7" s="7" t="s">
        <v>431</v>
      </c>
      <c r="C7" s="7" t="s">
        <v>321</v>
      </c>
      <c r="D7" s="7" t="s">
        <v>432</v>
      </c>
      <c r="E7" s="7" t="s">
        <v>433</v>
      </c>
      <c r="F7" s="7" t="s">
        <v>434</v>
      </c>
      <c r="G7" s="7" t="s">
        <v>435</v>
      </c>
      <c r="H7" s="7" t="s">
        <v>268</v>
      </c>
    </row>
    <row r="8" customFormat="false" ht="23.85" hidden="false" customHeight="false" outlineLevel="0" collapsed="false">
      <c r="A8" s="7" t="s">
        <v>294</v>
      </c>
      <c r="B8" s="7" t="s">
        <v>436</v>
      </c>
      <c r="C8" s="7" t="s">
        <v>437</v>
      </c>
      <c r="D8" s="7" t="s">
        <v>438</v>
      </c>
      <c r="E8" s="7" t="s">
        <v>439</v>
      </c>
      <c r="F8" s="7" t="s">
        <v>440</v>
      </c>
      <c r="G8" s="7" t="s">
        <v>441</v>
      </c>
      <c r="H8" s="7" t="s">
        <v>442</v>
      </c>
    </row>
    <row r="9" customFormat="false" ht="23.85" hidden="false" customHeight="false" outlineLevel="0" collapsed="false">
      <c r="A9" s="7" t="s">
        <v>368</v>
      </c>
      <c r="B9" s="7" t="s">
        <v>443</v>
      </c>
      <c r="C9" s="7" t="s">
        <v>246</v>
      </c>
      <c r="D9" s="7" t="s">
        <v>444</v>
      </c>
      <c r="E9" s="7" t="s">
        <v>445</v>
      </c>
      <c r="F9" s="7" t="s">
        <v>446</v>
      </c>
      <c r="G9" s="7" t="s">
        <v>447</v>
      </c>
      <c r="H9" s="7" t="s">
        <v>365</v>
      </c>
    </row>
    <row r="10" customFormat="false" ht="23.85" hidden="false" customHeight="false" outlineLevel="0" collapsed="false">
      <c r="A10" s="7" t="s">
        <v>337</v>
      </c>
      <c r="B10" s="7" t="s">
        <v>448</v>
      </c>
      <c r="C10" s="7" t="s">
        <v>335</v>
      </c>
      <c r="D10" s="7" t="s">
        <v>449</v>
      </c>
      <c r="E10" s="7" t="s">
        <v>450</v>
      </c>
      <c r="F10" s="7" t="s">
        <v>451</v>
      </c>
      <c r="G10" s="7" t="s">
        <v>452</v>
      </c>
      <c r="H10" s="7" t="s">
        <v>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44"/>
  </cols>
  <sheetData>
    <row r="1" customFormat="false" ht="30" hidden="false" customHeight="true" outlineLevel="0" collapsed="false">
      <c r="A1" s="6" t="s">
        <v>454</v>
      </c>
      <c r="B1" s="6" t="s">
        <v>455</v>
      </c>
      <c r="C1" s="6" t="s">
        <v>456</v>
      </c>
      <c r="D1" s="6" t="s">
        <v>457</v>
      </c>
      <c r="E1" s="6" t="s">
        <v>458</v>
      </c>
    </row>
    <row r="2" customFormat="false" ht="15" hidden="false" customHeight="false" outlineLevel="0" collapsed="false">
      <c r="A2" s="7" t="s">
        <v>43</v>
      </c>
      <c r="B2" s="7" t="s">
        <v>37</v>
      </c>
      <c r="C2" s="7" t="s">
        <v>84</v>
      </c>
      <c r="D2" s="7" t="s">
        <v>40</v>
      </c>
      <c r="E2" s="7" t="s">
        <v>459</v>
      </c>
    </row>
    <row r="3" customFormat="false" ht="15" hidden="false" customHeight="false" outlineLevel="0" collapsed="false">
      <c r="A3" s="7" t="s">
        <v>50</v>
      </c>
      <c r="B3" s="7" t="s">
        <v>48</v>
      </c>
      <c r="C3" s="7" t="s">
        <v>206</v>
      </c>
      <c r="D3" s="7" t="s">
        <v>40</v>
      </c>
      <c r="E3" s="7" t="s">
        <v>459</v>
      </c>
    </row>
    <row r="4" customFormat="false" ht="15" hidden="false" customHeight="false" outlineLevel="0" collapsed="false">
      <c r="A4" s="7" t="s">
        <v>57</v>
      </c>
      <c r="B4" s="7" t="s">
        <v>55</v>
      </c>
      <c r="C4" s="7" t="s">
        <v>232</v>
      </c>
      <c r="D4" s="7" t="s">
        <v>40</v>
      </c>
      <c r="E4" s="7" t="s">
        <v>459</v>
      </c>
    </row>
    <row r="5" customFormat="false" ht="15" hidden="false" customHeight="false" outlineLevel="0" collapsed="false">
      <c r="A5" s="7" t="s">
        <v>79</v>
      </c>
      <c r="B5" s="7" t="s">
        <v>75</v>
      </c>
      <c r="C5" s="7" t="s">
        <v>266</v>
      </c>
      <c r="D5" s="7" t="s">
        <v>40</v>
      </c>
      <c r="E5" s="7" t="s">
        <v>459</v>
      </c>
    </row>
    <row r="6" customFormat="false" ht="15" hidden="false" customHeight="false" outlineLevel="0" collapsed="false">
      <c r="A6" s="7" t="s">
        <v>162</v>
      </c>
      <c r="B6" s="7" t="s">
        <v>159</v>
      </c>
      <c r="C6" s="7" t="s">
        <v>280</v>
      </c>
      <c r="D6" s="7" t="s">
        <v>40</v>
      </c>
      <c r="E6" s="7" t="s">
        <v>459</v>
      </c>
    </row>
    <row r="7" customFormat="false" ht="15" hidden="false" customHeight="false" outlineLevel="0" collapsed="false">
      <c r="A7" s="7" t="s">
        <v>190</v>
      </c>
      <c r="B7" s="7" t="s">
        <v>189</v>
      </c>
      <c r="C7" s="7" t="s">
        <v>194</v>
      </c>
      <c r="D7" s="7" t="s">
        <v>85</v>
      </c>
      <c r="E7" s="7" t="s">
        <v>459</v>
      </c>
    </row>
    <row r="8" customFormat="false" ht="15" hidden="false" customHeight="false" outlineLevel="0" collapsed="false">
      <c r="A8" s="7" t="s">
        <v>182</v>
      </c>
      <c r="B8" s="7" t="s">
        <v>180</v>
      </c>
      <c r="C8" s="7" t="s">
        <v>202</v>
      </c>
      <c r="D8" s="7" t="s">
        <v>85</v>
      </c>
      <c r="E8" s="7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80"/>
  </cols>
  <sheetData>
    <row r="1" customFormat="false" ht="30" hidden="false" customHeight="true" outlineLevel="0" collapsed="false">
      <c r="A1" s="6" t="s">
        <v>460</v>
      </c>
      <c r="B1" s="6" t="s">
        <v>461</v>
      </c>
      <c r="C1" s="6" t="s">
        <v>462</v>
      </c>
      <c r="D1" s="6" t="s">
        <v>463</v>
      </c>
    </row>
    <row r="2" customFormat="false" ht="15" hidden="false" customHeight="false" outlineLevel="0" collapsed="false">
      <c r="A2" s="7" t="s">
        <v>69</v>
      </c>
      <c r="B2" s="7" t="s">
        <v>339</v>
      </c>
      <c r="C2" s="7" t="n">
        <f aca="false">COUNTIF('Existing 47'!$C$2:$C$48,A2)</f>
        <v>1</v>
      </c>
      <c r="D2" s="7" t="s">
        <v>464</v>
      </c>
    </row>
    <row r="3" customFormat="false" ht="15" hidden="false" customHeight="false" outlineLevel="0" collapsed="false">
      <c r="A3" s="7" t="s">
        <v>41</v>
      </c>
      <c r="B3" s="7" t="s">
        <v>41</v>
      </c>
      <c r="C3" s="7" t="n">
        <f aca="false">COUNTIF('Existing 47'!$C$2:$C$48,A3)</f>
        <v>0</v>
      </c>
      <c r="D3" s="7" t="s">
        <v>465</v>
      </c>
    </row>
    <row r="4" customFormat="false" ht="15" hidden="false" customHeight="false" outlineLevel="0" collapsed="false">
      <c r="A4" s="7" t="s">
        <v>76</v>
      </c>
      <c r="B4" s="7" t="s">
        <v>76</v>
      </c>
      <c r="C4" s="7" t="n">
        <f aca="false">COUNTIF('Existing 47'!$C$2:$C$48,A4)</f>
        <v>5</v>
      </c>
      <c r="D4" s="7" t="s">
        <v>466</v>
      </c>
    </row>
    <row r="5" customFormat="false" ht="15" hidden="false" customHeight="false" outlineLevel="0" collapsed="false">
      <c r="A5" s="7" t="s">
        <v>389</v>
      </c>
      <c r="B5" s="7" t="s">
        <v>389</v>
      </c>
      <c r="C5" s="7" t="n">
        <f aca="false">COUNTIF('Existing 47'!$C$2:$C$48,A5)</f>
        <v>0</v>
      </c>
      <c r="D5" s="7" t="s">
        <v>465</v>
      </c>
    </row>
    <row r="6" customFormat="false" ht="15" hidden="false" customHeight="false" outlineLevel="0" collapsed="false">
      <c r="A6" s="7" t="s">
        <v>467</v>
      </c>
      <c r="B6" s="7" t="s">
        <v>467</v>
      </c>
      <c r="C6" s="7" t="n">
        <f aca="false">COUNTIF('Existing 47'!$C$2:$C$48,A6)</f>
        <v>0</v>
      </c>
      <c r="D6" s="7" t="s">
        <v>468</v>
      </c>
    </row>
    <row r="7" customFormat="false" ht="15" hidden="false" customHeight="false" outlineLevel="0" collapsed="false">
      <c r="A7" s="7" t="s">
        <v>49</v>
      </c>
      <c r="B7" s="7" t="s">
        <v>49</v>
      </c>
      <c r="C7" s="7" t="n">
        <f aca="false">COUNTIF('Existing 47'!$C$2:$C$48,A7)</f>
        <v>0</v>
      </c>
      <c r="D7" s="7" t="s">
        <v>469</v>
      </c>
    </row>
    <row r="8" customFormat="false" ht="15" hidden="false" customHeight="false" outlineLevel="0" collapsed="false">
      <c r="A8" s="7" t="s">
        <v>470</v>
      </c>
      <c r="B8" s="7" t="s">
        <v>471</v>
      </c>
      <c r="C8" s="7" t="n">
        <f aca="false">COUNTIF('Existing 47'!$C$2:$C$48,A8)</f>
        <v>0</v>
      </c>
      <c r="D8" s="7" t="s">
        <v>472</v>
      </c>
    </row>
    <row r="9" customFormat="false" ht="23.85" hidden="false" customHeight="false" outlineLevel="0" collapsed="false">
      <c r="A9" s="7" t="s">
        <v>39</v>
      </c>
      <c r="B9" s="7" t="s">
        <v>473</v>
      </c>
      <c r="C9" s="7" t="n">
        <f aca="false">COUNTIF('Existing 47'!$C$2:$C$48,A9)</f>
        <v>4</v>
      </c>
      <c r="D9" s="7" t="s">
        <v>474</v>
      </c>
    </row>
    <row r="10" customFormat="false" ht="15" hidden="false" customHeight="false" outlineLevel="0" collapsed="false">
      <c r="A10" s="7" t="s">
        <v>475</v>
      </c>
      <c r="B10" s="7" t="s">
        <v>116</v>
      </c>
      <c r="C10" s="7" t="n">
        <f aca="false">COUNTIF('Existing 47'!$C$2:$C$48,A10)</f>
        <v>0</v>
      </c>
      <c r="D10" s="7" t="s">
        <v>476</v>
      </c>
    </row>
    <row r="11" customFormat="false" ht="15" hidden="false" customHeight="false" outlineLevel="0" collapsed="false">
      <c r="A11" s="7" t="s">
        <v>477</v>
      </c>
      <c r="B11" s="7" t="s">
        <v>136</v>
      </c>
      <c r="C11" s="7" t="n">
        <f aca="false">COUNTIF('Existing 47'!$C$2:$C$48,A11)</f>
        <v>0</v>
      </c>
      <c r="D11" s="7" t="s">
        <v>478</v>
      </c>
    </row>
    <row r="12" customFormat="false" ht="15" hidden="false" customHeight="false" outlineLevel="0" collapsed="false">
      <c r="A12" s="7" t="s">
        <v>479</v>
      </c>
      <c r="B12" s="7" t="s">
        <v>480</v>
      </c>
      <c r="C12" s="7" t="n">
        <f aca="false">COUNTIF('Existing 47'!$C$2:$C$48,A12)</f>
        <v>0</v>
      </c>
      <c r="D12" s="7" t="s">
        <v>481</v>
      </c>
    </row>
    <row r="13" customFormat="false" ht="15" hidden="false" customHeight="false" outlineLevel="0" collapsed="false">
      <c r="A13" s="7" t="s">
        <v>86</v>
      </c>
      <c r="B13" s="7" t="s">
        <v>41</v>
      </c>
      <c r="C13" s="7" t="n">
        <f aca="false">COUNTIF('Existing 47'!$C$2:$C$48,A13)</f>
        <v>5</v>
      </c>
      <c r="D13" s="7" t="s">
        <v>482</v>
      </c>
    </row>
    <row r="14" customFormat="false" ht="15" hidden="false" customHeight="false" outlineLevel="0" collapsed="false">
      <c r="A14" s="7" t="s">
        <v>112</v>
      </c>
      <c r="B14" s="7" t="s">
        <v>112</v>
      </c>
      <c r="C14" s="7" t="n">
        <f aca="false">COUNTIF('Existing 47'!$C$2:$C$48,A14)</f>
        <v>9</v>
      </c>
      <c r="D14" s="7" t="s">
        <v>483</v>
      </c>
    </row>
    <row r="15" customFormat="false" ht="15" hidden="false" customHeight="false" outlineLevel="0" collapsed="false">
      <c r="A15" s="7" t="s">
        <v>160</v>
      </c>
      <c r="B15" s="7" t="s">
        <v>161</v>
      </c>
      <c r="C15" s="7" t="n">
        <f aca="false">COUNTIF('Existing 47'!$C$2:$C$48,A15)</f>
        <v>3</v>
      </c>
      <c r="D15" s="7" t="s">
        <v>484</v>
      </c>
    </row>
    <row r="16" customFormat="false" ht="15" hidden="false" customHeight="false" outlineLevel="0" collapsed="false">
      <c r="A16" s="7" t="s">
        <v>176</v>
      </c>
      <c r="B16" s="7" t="s">
        <v>177</v>
      </c>
      <c r="C16" s="7" t="n">
        <f aca="false">COUNTIF('Existing 47'!$C$2:$C$48,A16)</f>
        <v>7</v>
      </c>
      <c r="D16" s="7" t="s">
        <v>485</v>
      </c>
    </row>
    <row r="17" customFormat="false" ht="15" hidden="false" customHeight="false" outlineLevel="0" collapsed="false">
      <c r="A17" s="7" t="s">
        <v>207</v>
      </c>
      <c r="B17" s="7" t="s">
        <v>486</v>
      </c>
      <c r="C17" s="7" t="n">
        <f aca="false">COUNTIF('Existing 47'!$C$2:$C$48,A17)</f>
        <v>6</v>
      </c>
      <c r="D17" s="7" t="s">
        <v>487</v>
      </c>
    </row>
    <row r="18" customFormat="false" ht="23.85" hidden="false" customHeight="false" outlineLevel="0" collapsed="false">
      <c r="A18" s="7" t="s">
        <v>233</v>
      </c>
      <c r="B18" s="7" t="s">
        <v>473</v>
      </c>
      <c r="C18" s="7" t="n">
        <f aca="false">COUNTIF('Existing 47'!$C$2:$C$48,A18)</f>
        <v>7</v>
      </c>
      <c r="D18" s="7" t="s">
        <v>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7" min="5" style="0" width="12"/>
  </cols>
  <sheetData>
    <row r="1" customFormat="false" ht="30" hidden="false" customHeight="true" outlineLevel="0" collapsed="false">
      <c r="A1" s="6" t="s">
        <v>489</v>
      </c>
      <c r="B1" s="6" t="s">
        <v>490</v>
      </c>
      <c r="C1" s="6" t="s">
        <v>491</v>
      </c>
      <c r="D1" s="6" t="s">
        <v>492</v>
      </c>
      <c r="E1" s="6" t="s">
        <v>493</v>
      </c>
      <c r="F1" s="6" t="s">
        <v>494</v>
      </c>
      <c r="G1" s="6" t="s">
        <v>495</v>
      </c>
    </row>
    <row r="2" customFormat="false" ht="15" hidden="false" customHeight="false" outlineLevel="0" collapsed="false">
      <c r="A2" s="7" t="s">
        <v>41</v>
      </c>
      <c r="B2" s="7" t="s">
        <v>496</v>
      </c>
      <c r="C2" s="7" t="s">
        <v>497</v>
      </c>
      <c r="D2" s="7" t="s">
        <v>498</v>
      </c>
      <c r="E2" s="7" t="n">
        <f aca="false">COUNTIFS('Existing 47'!$E$2:$E$48,A2,'Existing 47'!$K$2:$K$48,1)+COUNTIFS('Existing 47'!$F$2:$F$48,A2,'Existing 47'!$K$2:$K$48,1)</f>
        <v>3</v>
      </c>
      <c r="F2" s="7" t="n">
        <f aca="false">COUNTIFS('Workbook 38'!$B$2:$B$39,A2,'Workbook 38'!$D$2:$D$39,"Net new")</f>
        <v>2</v>
      </c>
      <c r="G2" s="7" t="n">
        <f aca="false">E2+F2</f>
        <v>5</v>
      </c>
    </row>
    <row r="3" customFormat="false" ht="15" hidden="false" customHeight="false" outlineLevel="0" collapsed="false">
      <c r="A3" s="7" t="s">
        <v>49</v>
      </c>
      <c r="B3" s="7" t="s">
        <v>499</v>
      </c>
      <c r="C3" s="7" t="s">
        <v>500</v>
      </c>
      <c r="D3" s="7" t="s">
        <v>501</v>
      </c>
      <c r="E3" s="7" t="n">
        <f aca="false">COUNTIFS('Existing 47'!$E$2:$E$48,A3,'Existing 47'!$K$2:$K$48,1)+COUNTIFS('Existing 47'!$F$2:$F$48,A3,'Existing 47'!$K$2:$K$48,1)</f>
        <v>2</v>
      </c>
      <c r="F3" s="7" t="n">
        <f aca="false">COUNTIFS('Workbook 38'!$B$2:$B$39,A3,'Workbook 38'!$D$2:$D$39,"Net new")</f>
        <v>0</v>
      </c>
      <c r="G3" s="7" t="n">
        <f aca="false">E3+F3</f>
        <v>2</v>
      </c>
    </row>
    <row r="4" customFormat="false" ht="15" hidden="false" customHeight="false" outlineLevel="0" collapsed="false">
      <c r="A4" s="7" t="s">
        <v>48</v>
      </c>
      <c r="B4" s="7" t="s">
        <v>502</v>
      </c>
      <c r="C4" s="7" t="s">
        <v>503</v>
      </c>
      <c r="D4" s="7" t="s">
        <v>504</v>
      </c>
      <c r="E4" s="7" t="n">
        <f aca="false">COUNTIFS('Existing 47'!$E$2:$E$48,A4,'Existing 47'!$K$2:$K$48,1)+COUNTIFS('Existing 47'!$F$2:$F$48,A4,'Existing 47'!$K$2:$K$48,1)</f>
        <v>2</v>
      </c>
      <c r="F4" s="7" t="n">
        <f aca="false">COUNTIFS('Workbook 38'!$B$2:$B$39,A4,'Workbook 38'!$D$2:$D$39,"Net new")</f>
        <v>0</v>
      </c>
      <c r="G4" s="7" t="n">
        <f aca="false">E4+F4</f>
        <v>2</v>
      </c>
    </row>
    <row r="5" customFormat="false" ht="15" hidden="false" customHeight="false" outlineLevel="0" collapsed="false">
      <c r="A5" s="7" t="s">
        <v>77</v>
      </c>
      <c r="B5" s="7" t="s">
        <v>431</v>
      </c>
      <c r="C5" s="7" t="s">
        <v>505</v>
      </c>
      <c r="D5" s="7" t="s">
        <v>506</v>
      </c>
      <c r="E5" s="7" t="n">
        <f aca="false">COUNTIFS('Existing 47'!$E$2:$E$48,A5,'Existing 47'!$K$2:$K$48,1)+COUNTIFS('Existing 47'!$F$2:$F$48,A5,'Existing 47'!$K$2:$K$48,1)</f>
        <v>1</v>
      </c>
      <c r="F5" s="7" t="n">
        <f aca="false">COUNTIFS('Workbook 38'!$B$2:$B$39,A5,'Workbook 38'!$D$2:$D$39,"Net new")</f>
        <v>1</v>
      </c>
      <c r="G5" s="7" t="n">
        <f aca="false">E5+F5</f>
        <v>2</v>
      </c>
    </row>
    <row r="6" customFormat="false" ht="15" hidden="false" customHeight="false" outlineLevel="0" collapsed="false">
      <c r="A6" s="7" t="s">
        <v>76</v>
      </c>
      <c r="B6" s="7" t="s">
        <v>507</v>
      </c>
      <c r="C6" s="7" t="s">
        <v>508</v>
      </c>
      <c r="D6" s="7" t="s">
        <v>509</v>
      </c>
      <c r="E6" s="7" t="n">
        <f aca="false">COUNTIFS('Existing 47'!$E$2:$E$48,A6,'Existing 47'!$K$2:$K$48,1)+COUNTIFS('Existing 47'!$F$2:$F$48,A6,'Existing 47'!$K$2:$K$48,1)</f>
        <v>4</v>
      </c>
      <c r="F6" s="7" t="n">
        <f aca="false">COUNTIFS('Workbook 38'!$B$2:$B$39,A6,'Workbook 38'!$D$2:$D$39,"Net new")</f>
        <v>0</v>
      </c>
      <c r="G6" s="7" t="n">
        <f aca="false">E6+F6</f>
        <v>4</v>
      </c>
    </row>
    <row r="7" customFormat="false" ht="15" hidden="false" customHeight="false" outlineLevel="0" collapsed="false">
      <c r="A7" s="7" t="s">
        <v>339</v>
      </c>
      <c r="B7" s="7" t="s">
        <v>510</v>
      </c>
      <c r="C7" s="7" t="s">
        <v>511</v>
      </c>
      <c r="D7" s="7" t="s">
        <v>512</v>
      </c>
      <c r="E7" s="7" t="n">
        <f aca="false">COUNTIFS('Existing 47'!$E$2:$E$48,A7,'Existing 47'!$K$2:$K$48,1)+COUNTIFS('Existing 47'!$F$2:$F$48,A7,'Existing 47'!$K$2:$K$48,1)</f>
        <v>0</v>
      </c>
      <c r="F7" s="7" t="n">
        <f aca="false">COUNTIFS('Workbook 38'!$B$2:$B$39,A7,'Workbook 38'!$D$2:$D$39,"Net new")</f>
        <v>4</v>
      </c>
      <c r="G7" s="7" t="n">
        <f aca="false">E7+F7</f>
        <v>4</v>
      </c>
    </row>
    <row r="8" customFormat="false" ht="15" hidden="false" customHeight="false" outlineLevel="0" collapsed="false">
      <c r="A8" s="7" t="s">
        <v>112</v>
      </c>
      <c r="B8" s="7" t="s">
        <v>513</v>
      </c>
      <c r="C8" s="7" t="s">
        <v>514</v>
      </c>
      <c r="D8" s="7" t="s">
        <v>515</v>
      </c>
      <c r="E8" s="7" t="n">
        <f aca="false">COUNTIFS('Existing 47'!$E$2:$E$48,A8,'Existing 47'!$K$2:$K$48,1)+COUNTIFS('Existing 47'!$F$2:$F$48,A8,'Existing 47'!$K$2:$K$48,1)</f>
        <v>11</v>
      </c>
      <c r="F8" s="7" t="n">
        <f aca="false">COUNTIFS('Workbook 38'!$B$2:$B$39,A8,'Workbook 38'!$D$2:$D$39,"Net new")</f>
        <v>3</v>
      </c>
      <c r="G8" s="7" t="n">
        <f aca="false">E8+F8</f>
        <v>14</v>
      </c>
    </row>
    <row r="9" customFormat="false" ht="15" hidden="false" customHeight="false" outlineLevel="0" collapsed="false">
      <c r="A9" s="7" t="s">
        <v>116</v>
      </c>
      <c r="B9" s="7" t="s">
        <v>516</v>
      </c>
      <c r="C9" s="7" t="s">
        <v>517</v>
      </c>
      <c r="D9" s="7" t="s">
        <v>518</v>
      </c>
      <c r="E9" s="7" t="n">
        <f aca="false">COUNTIFS('Existing 47'!$E$2:$E$48,A9,'Existing 47'!$K$2:$K$48,1)+COUNTIFS('Existing 47'!$F$2:$F$48,A9,'Existing 47'!$K$2:$K$48,1)</f>
        <v>1</v>
      </c>
      <c r="F9" s="7" t="n">
        <f aca="false">COUNTIFS('Workbook 38'!$B$2:$B$39,A9,'Workbook 38'!$D$2:$D$39,"Net new")</f>
        <v>0</v>
      </c>
      <c r="G9" s="7" t="n">
        <f aca="false">E9+F9</f>
        <v>1</v>
      </c>
    </row>
    <row r="10" customFormat="false" ht="15" hidden="false" customHeight="false" outlineLevel="0" collapsed="false">
      <c r="A10" s="7" t="s">
        <v>229</v>
      </c>
      <c r="B10" s="7" t="s">
        <v>519</v>
      </c>
      <c r="C10" s="7" t="s">
        <v>520</v>
      </c>
      <c r="D10" s="7" t="s">
        <v>521</v>
      </c>
      <c r="E10" s="7" t="n">
        <f aca="false">COUNTIFS('Existing 47'!$E$2:$E$48,A10,'Existing 47'!$K$2:$K$48,1)+COUNTIFS('Existing 47'!$F$2:$F$48,A10,'Existing 47'!$K$2:$K$48,1)</f>
        <v>3</v>
      </c>
      <c r="F10" s="7" t="n">
        <f aca="false">COUNTIFS('Workbook 38'!$B$2:$B$39,A10,'Workbook 38'!$D$2:$D$39,"Net new")</f>
        <v>1</v>
      </c>
      <c r="G10" s="7" t="n">
        <f aca="false">E10+F10</f>
        <v>4</v>
      </c>
    </row>
    <row r="11" customFormat="false" ht="15" hidden="false" customHeight="false" outlineLevel="0" collapsed="false">
      <c r="A11" s="7" t="s">
        <v>374</v>
      </c>
      <c r="B11" s="7" t="s">
        <v>522</v>
      </c>
      <c r="C11" s="7" t="s">
        <v>523</v>
      </c>
      <c r="D11" s="7" t="s">
        <v>524</v>
      </c>
      <c r="E11" s="7" t="n">
        <f aca="false">COUNTIFS('Existing 47'!$E$2:$E$48,A11,'Existing 47'!$K$2:$K$48,1)+COUNTIFS('Existing 47'!$F$2:$F$48,A11,'Existing 47'!$K$2:$K$48,1)</f>
        <v>0</v>
      </c>
      <c r="F11" s="7" t="n">
        <f aca="false">COUNTIFS('Workbook 38'!$B$2:$B$39,A11,'Workbook 38'!$D$2:$D$39,"Net new")</f>
        <v>1</v>
      </c>
      <c r="G11" s="7" t="n">
        <f aca="false">E11+F11</f>
        <v>1</v>
      </c>
    </row>
    <row r="12" customFormat="false" ht="15" hidden="false" customHeight="false" outlineLevel="0" collapsed="false">
      <c r="A12" s="7" t="s">
        <v>136</v>
      </c>
      <c r="B12" s="7" t="s">
        <v>525</v>
      </c>
      <c r="C12" s="7" t="s">
        <v>525</v>
      </c>
      <c r="D12" s="7" t="s">
        <v>526</v>
      </c>
      <c r="E12" s="7" t="n">
        <f aca="false">COUNTIFS('Existing 47'!$E$2:$E$48,A12,'Existing 47'!$K$2:$K$48,1)+COUNTIFS('Existing 47'!$F$2:$F$48,A12,'Existing 47'!$K$2:$K$48,1)</f>
        <v>6</v>
      </c>
      <c r="F12" s="7" t="n">
        <f aca="false">COUNTIFS('Workbook 38'!$B$2:$B$39,A12,'Workbook 38'!$D$2:$D$39,"Net new")</f>
        <v>2</v>
      </c>
      <c r="G12" s="7" t="n">
        <f aca="false">E12+F12</f>
        <v>8</v>
      </c>
    </row>
    <row r="13" customFormat="false" ht="15" hidden="false" customHeight="false" outlineLevel="0" collapsed="false">
      <c r="A13" s="7" t="s">
        <v>216</v>
      </c>
      <c r="B13" s="7" t="s">
        <v>527</v>
      </c>
      <c r="C13" s="7" t="s">
        <v>528</v>
      </c>
      <c r="D13" s="7" t="s">
        <v>529</v>
      </c>
      <c r="E13" s="7" t="n">
        <f aca="false">COUNTIFS('Existing 47'!$E$2:$E$48,A13,'Existing 47'!$K$2:$K$48,1)+COUNTIFS('Existing 47'!$F$2:$F$48,A13,'Existing 47'!$K$2:$K$48,1)</f>
        <v>1</v>
      </c>
      <c r="F13" s="7" t="n">
        <f aca="false">COUNTIFS('Workbook 38'!$B$2:$B$39,A13,'Workbook 38'!$D$2:$D$39,"Net new")</f>
        <v>1</v>
      </c>
      <c r="G13" s="7" t="n">
        <f aca="false">E13+F13</f>
        <v>2</v>
      </c>
    </row>
    <row r="14" customFormat="false" ht="15" hidden="false" customHeight="false" outlineLevel="0" collapsed="false">
      <c r="A14" s="7" t="s">
        <v>56</v>
      </c>
      <c r="B14" s="7" t="s">
        <v>530</v>
      </c>
      <c r="C14" s="7" t="s">
        <v>531</v>
      </c>
      <c r="D14" s="7" t="s">
        <v>532</v>
      </c>
      <c r="E14" s="7" t="n">
        <f aca="false">COUNTIFS('Existing 47'!$E$2:$E$48,A14,'Existing 47'!$K$2:$K$48,1)+COUNTIFS('Existing 47'!$F$2:$F$48,A14,'Existing 47'!$K$2:$K$48,1)</f>
        <v>1</v>
      </c>
      <c r="F14" s="7" t="n">
        <f aca="false">COUNTIFS('Workbook 38'!$B$2:$B$39,A14,'Workbook 38'!$D$2:$D$39,"Net new")</f>
        <v>0</v>
      </c>
      <c r="G14" s="7" t="n">
        <f aca="false">E14+F14</f>
        <v>1</v>
      </c>
    </row>
    <row r="15" customFormat="false" ht="15" hidden="false" customHeight="false" outlineLevel="0" collapsed="false">
      <c r="A15" s="7" t="s">
        <v>161</v>
      </c>
      <c r="B15" s="7" t="s">
        <v>533</v>
      </c>
      <c r="C15" s="7" t="s">
        <v>534</v>
      </c>
      <c r="D15" s="7" t="s">
        <v>535</v>
      </c>
      <c r="E15" s="7" t="n">
        <f aca="false">COUNTIFS('Existing 47'!$E$2:$E$48,A15,'Existing 47'!$K$2:$K$48,1)+COUNTIFS('Existing 47'!$F$2:$F$48,A15,'Existing 47'!$K$2:$K$48,1)</f>
        <v>3</v>
      </c>
      <c r="F15" s="7" t="n">
        <f aca="false">COUNTIFS('Workbook 38'!$B$2:$B$39,A15,'Workbook 38'!$D$2:$D$39,"Net new")</f>
        <v>1</v>
      </c>
      <c r="G15" s="7" t="n">
        <f aca="false">E15+F15</f>
        <v>4</v>
      </c>
    </row>
    <row r="16" customFormat="false" ht="15" hidden="false" customHeight="false" outlineLevel="0" collapsed="false">
      <c r="A16" s="7" t="s">
        <v>384</v>
      </c>
      <c r="B16" s="7" t="s">
        <v>536</v>
      </c>
      <c r="C16" s="7" t="s">
        <v>537</v>
      </c>
      <c r="D16" s="7" t="s">
        <v>538</v>
      </c>
      <c r="E16" s="7" t="n">
        <f aca="false">COUNTIFS('Existing 47'!$E$2:$E$48,A16,'Existing 47'!$K$2:$K$48,1)+COUNTIFS('Existing 47'!$F$2:$F$48,A16,'Existing 47'!$K$2:$K$48,1)</f>
        <v>0</v>
      </c>
      <c r="F16" s="7" t="n">
        <f aca="false">COUNTIFS('Workbook 38'!$B$2:$B$39,A16,'Workbook 38'!$D$2:$D$39,"Net new")</f>
        <v>1</v>
      </c>
      <c r="G16" s="7" t="n">
        <f aca="false">E16+F16</f>
        <v>1</v>
      </c>
    </row>
    <row r="17" customFormat="false" ht="15" hidden="false" customHeight="false" outlineLevel="0" collapsed="false">
      <c r="A17" s="7" t="s">
        <v>130</v>
      </c>
      <c r="B17" s="7" t="s">
        <v>539</v>
      </c>
      <c r="C17" s="7" t="s">
        <v>540</v>
      </c>
      <c r="D17" s="7" t="s">
        <v>541</v>
      </c>
      <c r="E17" s="7" t="n">
        <f aca="false">COUNTIFS('Existing 47'!$E$2:$E$48,A17,'Existing 47'!$K$2:$K$48,1)+COUNTIFS('Existing 47'!$F$2:$F$48,A17,'Existing 47'!$K$2:$K$48,1)</f>
        <v>1</v>
      </c>
      <c r="F17" s="7" t="n">
        <f aca="false">COUNTIFS('Workbook 38'!$B$2:$B$39,A17,'Workbook 38'!$D$2:$D$39,"Net new")</f>
        <v>1</v>
      </c>
      <c r="G17" s="7" t="n">
        <f aca="false">E17+F17</f>
        <v>2</v>
      </c>
    </row>
    <row r="18" customFormat="false" ht="15" hidden="false" customHeight="false" outlineLevel="0" collapsed="false">
      <c r="A18" s="7" t="s">
        <v>389</v>
      </c>
      <c r="B18" s="7" t="s">
        <v>542</v>
      </c>
      <c r="C18" s="7" t="s">
        <v>543</v>
      </c>
      <c r="D18" s="7" t="s">
        <v>544</v>
      </c>
      <c r="E18" s="7" t="n">
        <f aca="false">COUNTIFS('Existing 47'!$E$2:$E$48,A18,'Existing 47'!$K$2:$K$48,1)+COUNTIFS('Existing 47'!$F$2:$F$48,A18,'Existing 47'!$K$2:$K$48,1)</f>
        <v>0</v>
      </c>
      <c r="F18" s="7" t="n">
        <f aca="false">COUNTIFS('Workbook 38'!$B$2:$B$39,A18,'Workbook 38'!$D$2:$D$39,"Net new")</f>
        <v>1</v>
      </c>
      <c r="G18" s="7" t="n">
        <f aca="false">E18+F18</f>
        <v>1</v>
      </c>
    </row>
    <row r="19" customFormat="false" ht="15" hidden="false" customHeight="false" outlineLevel="0" collapsed="false">
      <c r="A19" s="7" t="s">
        <v>105</v>
      </c>
      <c r="B19" s="7" t="s">
        <v>545</v>
      </c>
      <c r="C19" s="7" t="s">
        <v>546</v>
      </c>
      <c r="D19" s="7" t="s">
        <v>547</v>
      </c>
      <c r="E19" s="7" t="n">
        <f aca="false">COUNTIFS('Existing 47'!$E$2:$E$48,A19,'Existing 47'!$K$2:$K$48,1)+COUNTIFS('Existing 47'!$F$2:$F$48,A19,'Existing 47'!$K$2:$K$48,1)</f>
        <v>2</v>
      </c>
      <c r="F19" s="7" t="n">
        <f aca="false">COUNTIFS('Workbook 38'!$B$2:$B$39,A19,'Workbook 38'!$D$2:$D$39,"Net new")</f>
        <v>1</v>
      </c>
      <c r="G19" s="7" t="n">
        <f aca="false">E19+F19</f>
        <v>3</v>
      </c>
    </row>
    <row r="20" customFormat="false" ht="15" hidden="false" customHeight="false" outlineLevel="0" collapsed="false">
      <c r="A20" s="7" t="s">
        <v>104</v>
      </c>
      <c r="B20" s="7" t="s">
        <v>548</v>
      </c>
      <c r="C20" s="7" t="s">
        <v>549</v>
      </c>
      <c r="D20" s="7" t="s">
        <v>550</v>
      </c>
      <c r="E20" s="7" t="n">
        <f aca="false">COUNTIFS('Existing 47'!$E$2:$E$48,A20,'Existing 47'!$K$2:$K$48,1)+COUNTIFS('Existing 47'!$F$2:$F$48,A20,'Existing 47'!$K$2:$K$48,1)</f>
        <v>1</v>
      </c>
      <c r="F20" s="7" t="n">
        <f aca="false">COUNTIFS('Workbook 38'!$B$2:$B$39,A20,'Workbook 38'!$D$2:$D$39,"Net new")</f>
        <v>0</v>
      </c>
      <c r="G20" s="7" t="n">
        <f aca="false">E20+F20</f>
        <v>1</v>
      </c>
    </row>
    <row r="21" customFormat="false" ht="15" hidden="false" customHeight="false" outlineLevel="0" collapsed="false">
      <c r="A21" s="7" t="s">
        <v>70</v>
      </c>
      <c r="B21" s="7" t="s">
        <v>551</v>
      </c>
      <c r="C21" s="7" t="s">
        <v>552</v>
      </c>
      <c r="D21" s="7" t="s">
        <v>553</v>
      </c>
      <c r="E21" s="7" t="n">
        <f aca="false">COUNTIFS('Existing 47'!$E$2:$E$48,A21,'Existing 47'!$K$2:$K$48,1)+COUNTIFS('Existing 47'!$F$2:$F$48,A21,'Existing 47'!$K$2:$K$48,1)</f>
        <v>1</v>
      </c>
      <c r="F21" s="7" t="n">
        <f aca="false">COUNTIFS('Workbook 38'!$B$2:$B$39,A21,'Workbook 38'!$D$2:$D$39,"Net new")</f>
        <v>0</v>
      </c>
      <c r="G21" s="7" t="n">
        <f aca="false">E21+F21</f>
        <v>1</v>
      </c>
    </row>
    <row r="22" customFormat="false" ht="23.85" hidden="false" customHeight="false" outlineLevel="0" collapsed="false">
      <c r="A22" s="7" t="s">
        <v>467</v>
      </c>
      <c r="B22" s="7" t="s">
        <v>554</v>
      </c>
      <c r="C22" s="7" t="s">
        <v>555</v>
      </c>
      <c r="D22" s="7" t="s">
        <v>556</v>
      </c>
      <c r="E22" s="7" t="n">
        <f aca="false">COUNTIFS('Existing 47'!$E$2:$E$48,A22,'Existing 47'!$K$2:$K$48,1)+COUNTIFS('Existing 47'!$F$2:$F$48,A22,'Existing 47'!$K$2:$K$48,1)</f>
        <v>0</v>
      </c>
      <c r="F22" s="7" t="n">
        <f aca="false">COUNTIFS('Workbook 38'!$B$2:$B$39,A22,'Workbook 38'!$D$2:$D$39,"Net new")</f>
        <v>0</v>
      </c>
      <c r="G22" s="7" t="n">
        <f aca="false">E22+F22</f>
        <v>0</v>
      </c>
    </row>
    <row r="23" customFormat="false" ht="15" hidden="false" customHeight="false" outlineLevel="0" collapsed="false">
      <c r="A23" s="7" t="s">
        <v>177</v>
      </c>
      <c r="B23" s="7" t="s">
        <v>557</v>
      </c>
      <c r="C23" s="7" t="s">
        <v>558</v>
      </c>
      <c r="D23" s="7" t="s">
        <v>559</v>
      </c>
      <c r="E23" s="7" t="n">
        <f aca="false">COUNTIFS('Existing 47'!$E$2:$E$48,A23,'Existing 47'!$K$2:$K$48,1)+COUNTIFS('Existing 47'!$F$2:$F$48,A23,'Existing 47'!$K$2:$K$48,1)</f>
        <v>4</v>
      </c>
      <c r="F23" s="7" t="n">
        <f aca="false">COUNTIFS('Workbook 38'!$B$2:$B$39,A23,'Workbook 38'!$D$2:$D$39,"Net new")</f>
        <v>0</v>
      </c>
      <c r="G23" s="7" t="n">
        <f aca="false">E23+F23</f>
        <v>4</v>
      </c>
    </row>
    <row r="24" customFormat="false" ht="15" hidden="false" customHeight="false" outlineLevel="0" collapsed="false">
      <c r="A24" s="7" t="s">
        <v>207</v>
      </c>
      <c r="B24" s="7" t="s">
        <v>560</v>
      </c>
      <c r="C24" s="7" t="s">
        <v>561</v>
      </c>
      <c r="D24" s="7" t="s">
        <v>562</v>
      </c>
      <c r="E24" s="7" t="n">
        <f aca="false">COUNTIFS('Existing 47'!$E$2:$E$48,A24,'Existing 47'!$K$2:$K$48,1)+COUNTIFS('Existing 47'!$F$2:$F$48,A24,'Existing 47'!$K$2:$K$48,1)</f>
        <v>3</v>
      </c>
      <c r="F24" s="7" t="n">
        <f aca="false">COUNTIFS('Workbook 38'!$B$2:$B$39,A24,'Workbook 38'!$D$2:$D$39,"Net new")</f>
        <v>0</v>
      </c>
      <c r="G24" s="7" t="n">
        <f aca="false">E24+F24</f>
        <v>3</v>
      </c>
    </row>
    <row r="25" customFormat="false" ht="15" hidden="false" customHeight="false" outlineLevel="0" collapsed="false">
      <c r="A25" s="7" t="s">
        <v>233</v>
      </c>
      <c r="B25" s="7" t="s">
        <v>563</v>
      </c>
      <c r="C25" s="7" t="s">
        <v>564</v>
      </c>
      <c r="D25" s="7" t="s">
        <v>565</v>
      </c>
      <c r="E25" s="7" t="n">
        <f aca="false">COUNTIFS('Existing 47'!$E$2:$E$48,A25,'Existing 47'!$K$2:$K$48,1)+COUNTIFS('Existing 47'!$F$2:$F$48,A25,'Existing 47'!$K$2:$K$48,1)</f>
        <v>1</v>
      </c>
      <c r="F25" s="7" t="n">
        <f aca="false">COUNTIFS('Workbook 38'!$B$2:$B$39,A25,'Workbook 38'!$D$2:$D$39,"Net new")</f>
        <v>0</v>
      </c>
      <c r="G25" s="7" t="n">
        <f aca="false">E25+F25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8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52"/>
  </cols>
  <sheetData>
    <row r="1" customFormat="false" ht="30" hidden="false" customHeight="true" outlineLevel="0" collapsed="false">
      <c r="A1" s="6" t="s">
        <v>566</v>
      </c>
      <c r="B1" s="6" t="s">
        <v>567</v>
      </c>
      <c r="C1" s="6" t="s">
        <v>568</v>
      </c>
      <c r="D1" s="6" t="s">
        <v>569</v>
      </c>
      <c r="E1" s="6" t="s">
        <v>463</v>
      </c>
    </row>
    <row r="2" customFormat="false" ht="15" hidden="false" customHeight="false" outlineLevel="0" collapsed="false">
      <c r="A2" s="7" t="s">
        <v>570</v>
      </c>
      <c r="B2" s="7" t="s">
        <v>292</v>
      </c>
      <c r="C2" s="7" t="s">
        <v>571</v>
      </c>
      <c r="D2" s="7" t="s">
        <v>572</v>
      </c>
      <c r="E2" s="7"/>
    </row>
    <row r="3" customFormat="false" ht="15" hidden="false" customHeight="false" outlineLevel="0" collapsed="false">
      <c r="A3" s="7" t="s">
        <v>573</v>
      </c>
      <c r="B3" s="7" t="s">
        <v>37</v>
      </c>
      <c r="C3" s="7" t="s">
        <v>574</v>
      </c>
      <c r="D3" s="7" t="s">
        <v>575</v>
      </c>
      <c r="E3" s="7"/>
    </row>
    <row r="4" customFormat="false" ht="15" hidden="false" customHeight="false" outlineLevel="0" collapsed="false">
      <c r="A4" s="7" t="s">
        <v>576</v>
      </c>
      <c r="B4" s="7" t="s">
        <v>37</v>
      </c>
      <c r="C4" s="7" t="s">
        <v>577</v>
      </c>
      <c r="D4" s="7" t="s">
        <v>575</v>
      </c>
      <c r="E4" s="7" t="s">
        <v>578</v>
      </c>
    </row>
    <row r="5" customFormat="false" ht="15" hidden="false" customHeight="false" outlineLevel="0" collapsed="false">
      <c r="A5" s="7" t="s">
        <v>579</v>
      </c>
      <c r="B5" s="7" t="s">
        <v>91</v>
      </c>
      <c r="C5" s="7" t="s">
        <v>580</v>
      </c>
      <c r="D5" s="7" t="s">
        <v>572</v>
      </c>
      <c r="E5" s="7"/>
    </row>
    <row r="6" customFormat="false" ht="15" hidden="false" customHeight="false" outlineLevel="0" collapsed="false">
      <c r="A6" s="7" t="s">
        <v>581</v>
      </c>
      <c r="B6" s="7" t="s">
        <v>313</v>
      </c>
      <c r="C6" s="7" t="s">
        <v>582</v>
      </c>
      <c r="D6" s="7" t="s">
        <v>572</v>
      </c>
      <c r="E6" s="7" t="s">
        <v>583</v>
      </c>
    </row>
    <row r="7" customFormat="false" ht="15" hidden="false" customHeight="false" outlineLevel="0" collapsed="false">
      <c r="A7" s="7" t="s">
        <v>584</v>
      </c>
      <c r="B7" s="7" t="s">
        <v>206</v>
      </c>
      <c r="C7" s="7" t="s">
        <v>585</v>
      </c>
      <c r="D7" s="7" t="s">
        <v>572</v>
      </c>
      <c r="E7" s="7" t="s">
        <v>586</v>
      </c>
    </row>
    <row r="8" customFormat="false" ht="15" hidden="false" customHeight="false" outlineLevel="0" collapsed="false">
      <c r="A8" s="7" t="s">
        <v>587</v>
      </c>
      <c r="B8" s="7" t="s">
        <v>321</v>
      </c>
      <c r="C8" s="7" t="s">
        <v>588</v>
      </c>
      <c r="D8" s="7" t="s">
        <v>572</v>
      </c>
      <c r="E8" s="7"/>
    </row>
    <row r="9" customFormat="false" ht="15" hidden="false" customHeight="false" outlineLevel="0" collapsed="false">
      <c r="A9" s="7" t="s">
        <v>589</v>
      </c>
      <c r="B9" s="7" t="s">
        <v>266</v>
      </c>
      <c r="C9" s="7" t="s">
        <v>590</v>
      </c>
      <c r="D9" s="7" t="s">
        <v>572</v>
      </c>
      <c r="E9" s="7" t="s">
        <v>591</v>
      </c>
    </row>
    <row r="10" customFormat="false" ht="15" hidden="false" customHeight="false" outlineLevel="0" collapsed="false">
      <c r="A10" s="7" t="s">
        <v>592</v>
      </c>
      <c r="B10" s="7" t="s">
        <v>266</v>
      </c>
      <c r="C10" s="7" t="s">
        <v>593</v>
      </c>
      <c r="D10" s="7" t="s">
        <v>572</v>
      </c>
      <c r="E10" s="7" t="s">
        <v>594</v>
      </c>
    </row>
    <row r="11" customFormat="false" ht="15" hidden="false" customHeight="false" outlineLevel="0" collapsed="false">
      <c r="A11" s="7" t="s">
        <v>595</v>
      </c>
      <c r="B11" s="7" t="s">
        <v>335</v>
      </c>
      <c r="C11" s="7" t="s">
        <v>596</v>
      </c>
      <c r="D11" s="7" t="s">
        <v>572</v>
      </c>
      <c r="E11" s="7" t="s">
        <v>597</v>
      </c>
    </row>
    <row r="12" customFormat="false" ht="15" hidden="false" customHeight="false" outlineLevel="0" collapsed="false">
      <c r="A12" s="7" t="s">
        <v>598</v>
      </c>
      <c r="B12" s="7" t="s">
        <v>246</v>
      </c>
      <c r="C12" s="7" t="s">
        <v>599</v>
      </c>
      <c r="D12" s="7" t="s">
        <v>572</v>
      </c>
      <c r="E12" s="7" t="s">
        <v>600</v>
      </c>
    </row>
    <row r="13" customFormat="false" ht="15" hidden="false" customHeight="false" outlineLevel="0" collapsed="false">
      <c r="A13" s="7" t="s">
        <v>601</v>
      </c>
      <c r="B13" s="7" t="s">
        <v>68</v>
      </c>
      <c r="C13" s="7" t="s">
        <v>602</v>
      </c>
      <c r="D13" s="7" t="s">
        <v>575</v>
      </c>
      <c r="E13" s="7" t="s">
        <v>603</v>
      </c>
    </row>
    <row r="14" customFormat="false" ht="15" hidden="false" customHeight="false" outlineLevel="0" collapsed="false">
      <c r="A14" s="7" t="s">
        <v>604</v>
      </c>
      <c r="B14" s="7" t="s">
        <v>237</v>
      </c>
      <c r="C14" s="7" t="s">
        <v>605</v>
      </c>
      <c r="D14" s="7" t="s">
        <v>575</v>
      </c>
      <c r="E14" s="7"/>
    </row>
    <row r="15" customFormat="false" ht="23.85" hidden="false" customHeight="false" outlineLevel="0" collapsed="false">
      <c r="A15" s="7" t="s">
        <v>606</v>
      </c>
      <c r="B15" s="7" t="s">
        <v>155</v>
      </c>
      <c r="C15" s="7" t="s">
        <v>607</v>
      </c>
      <c r="D15" s="7" t="s">
        <v>575</v>
      </c>
      <c r="E15" s="7" t="s">
        <v>608</v>
      </c>
    </row>
    <row r="16" customFormat="false" ht="15" hidden="false" customHeight="false" outlineLevel="0" collapsed="false">
      <c r="A16" s="7" t="s">
        <v>609</v>
      </c>
      <c r="B16" s="7" t="s">
        <v>272</v>
      </c>
      <c r="C16" s="7" t="s">
        <v>610</v>
      </c>
      <c r="D16" s="7" t="s">
        <v>611</v>
      </c>
      <c r="E16" s="7" t="s">
        <v>612</v>
      </c>
    </row>
    <row r="17" customFormat="false" ht="15" hidden="false" customHeight="false" outlineLevel="0" collapsed="false">
      <c r="A17" s="7" t="s">
        <v>613</v>
      </c>
      <c r="B17" s="7" t="s">
        <v>614</v>
      </c>
      <c r="C17" s="7" t="s">
        <v>615</v>
      </c>
      <c r="D17" s="7" t="s">
        <v>611</v>
      </c>
      <c r="E17" s="7" t="s">
        <v>616</v>
      </c>
    </row>
    <row r="18" customFormat="false" ht="23.85" hidden="false" customHeight="false" outlineLevel="0" collapsed="false">
      <c r="A18" s="7" t="s">
        <v>617</v>
      </c>
      <c r="B18" s="7" t="s">
        <v>618</v>
      </c>
      <c r="C18" s="7" t="s">
        <v>615</v>
      </c>
      <c r="D18" s="7" t="s">
        <v>611</v>
      </c>
      <c r="E18" s="7" t="s">
        <v>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22"/>
    <col collapsed="false" customWidth="true" hidden="false" outlineLevel="0" max="4" min="4" style="0" width="60"/>
  </cols>
  <sheetData>
    <row r="1" customFormat="false" ht="30" hidden="false" customHeight="true" outlineLevel="0" collapsed="false">
      <c r="A1" s="6" t="s">
        <v>620</v>
      </c>
      <c r="B1" s="6" t="s">
        <v>621</v>
      </c>
      <c r="C1" s="6" t="s">
        <v>622</v>
      </c>
      <c r="D1" s="6" t="s">
        <v>623</v>
      </c>
    </row>
    <row r="2" customFormat="false" ht="15" hidden="false" customHeight="false" outlineLevel="0" collapsed="false">
      <c r="A2" s="7" t="s">
        <v>624</v>
      </c>
      <c r="B2" s="7" t="s">
        <v>625</v>
      </c>
      <c r="C2" s="7" t="s">
        <v>626</v>
      </c>
      <c r="D2" s="7" t="s">
        <v>627</v>
      </c>
    </row>
    <row r="3" customFormat="false" ht="15" hidden="false" customHeight="false" outlineLevel="0" collapsed="false">
      <c r="A3" s="7" t="s">
        <v>628</v>
      </c>
      <c r="B3" s="7" t="s">
        <v>554</v>
      </c>
      <c r="C3" s="7" t="s">
        <v>629</v>
      </c>
      <c r="D3" s="7" t="s">
        <v>630</v>
      </c>
    </row>
    <row r="4" customFormat="false" ht="15" hidden="false" customHeight="false" outlineLevel="0" collapsed="false">
      <c r="A4" s="7" t="s">
        <v>631</v>
      </c>
      <c r="B4" s="7" t="s">
        <v>632</v>
      </c>
      <c r="C4" s="7" t="s">
        <v>626</v>
      </c>
      <c r="D4" s="7" t="s">
        <v>633</v>
      </c>
    </row>
    <row r="5" customFormat="false" ht="15" hidden="false" customHeight="false" outlineLevel="0" collapsed="false">
      <c r="A5" s="7" t="s">
        <v>634</v>
      </c>
      <c r="B5" s="7" t="s">
        <v>635</v>
      </c>
      <c r="C5" s="7" t="s">
        <v>629</v>
      </c>
      <c r="D5" s="7"/>
    </row>
    <row r="6" customFormat="false" ht="15" hidden="false" customHeight="false" outlineLevel="0" collapsed="false">
      <c r="A6" s="7" t="s">
        <v>636</v>
      </c>
      <c r="B6" s="7" t="s">
        <v>637</v>
      </c>
      <c r="C6" s="7" t="s">
        <v>638</v>
      </c>
      <c r="D6" s="7" t="s">
        <v>148</v>
      </c>
    </row>
    <row r="7" customFormat="false" ht="15" hidden="false" customHeight="false" outlineLevel="0" collapsed="false">
      <c r="A7" s="7" t="s">
        <v>639</v>
      </c>
      <c r="B7" s="7" t="s">
        <v>640</v>
      </c>
      <c r="C7" s="7" t="s">
        <v>638</v>
      </c>
      <c r="D7" s="7" t="s">
        <v>237</v>
      </c>
    </row>
    <row r="8" customFormat="false" ht="15" hidden="false" customHeight="false" outlineLevel="0" collapsed="false">
      <c r="A8" s="7" t="s">
        <v>641</v>
      </c>
      <c r="B8" s="7" t="s">
        <v>642</v>
      </c>
      <c r="C8" s="7" t="s">
        <v>629</v>
      </c>
      <c r="D8" s="7" t="s">
        <v>643</v>
      </c>
    </row>
    <row r="9" customFormat="false" ht="15" hidden="false" customHeight="false" outlineLevel="0" collapsed="false">
      <c r="A9" s="7" t="s">
        <v>644</v>
      </c>
      <c r="B9" s="7" t="s">
        <v>645</v>
      </c>
      <c r="C9" s="7" t="s">
        <v>629</v>
      </c>
      <c r="D9" s="7"/>
    </row>
    <row r="10" customFormat="false" ht="15" hidden="false" customHeight="false" outlineLevel="0" collapsed="false">
      <c r="A10" s="7" t="s">
        <v>646</v>
      </c>
      <c r="B10" s="7" t="s">
        <v>647</v>
      </c>
      <c r="C10" s="7" t="s">
        <v>638</v>
      </c>
      <c r="D10" s="7" t="s">
        <v>97</v>
      </c>
    </row>
    <row r="11" customFormat="false" ht="15" hidden="false" customHeight="false" outlineLevel="0" collapsed="false">
      <c r="A11" s="7" t="s">
        <v>648</v>
      </c>
      <c r="B11" s="7" t="s">
        <v>649</v>
      </c>
      <c r="C11" s="7" t="s">
        <v>638</v>
      </c>
      <c r="D11" s="7" t="s">
        <v>650</v>
      </c>
    </row>
    <row r="12" customFormat="false" ht="15" hidden="false" customHeight="false" outlineLevel="0" collapsed="false">
      <c r="A12" s="7" t="s">
        <v>651</v>
      </c>
      <c r="B12" s="7" t="s">
        <v>652</v>
      </c>
      <c r="C12" s="7" t="s">
        <v>629</v>
      </c>
      <c r="D12" s="7" t="s">
        <v>653</v>
      </c>
    </row>
    <row r="13" customFormat="false" ht="15" hidden="false" customHeight="false" outlineLevel="0" collapsed="false">
      <c r="A13" s="7" t="s">
        <v>654</v>
      </c>
      <c r="B13" s="7" t="s">
        <v>655</v>
      </c>
      <c r="C13" s="7" t="s">
        <v>626</v>
      </c>
      <c r="D13" s="7" t="s">
        <v>656</v>
      </c>
    </row>
    <row r="14" customFormat="false" ht="15" hidden="false" customHeight="false" outlineLevel="0" collapsed="false">
      <c r="A14" s="7" t="s">
        <v>657</v>
      </c>
      <c r="B14" s="7" t="s">
        <v>658</v>
      </c>
      <c r="C14" s="7" t="s">
        <v>638</v>
      </c>
      <c r="D14" s="7" t="s">
        <v>659</v>
      </c>
    </row>
    <row r="15" customFormat="false" ht="15" hidden="false" customHeight="false" outlineLevel="0" collapsed="false">
      <c r="A15" s="7" t="s">
        <v>660</v>
      </c>
      <c r="B15" s="7" t="s">
        <v>661</v>
      </c>
      <c r="C15" s="7" t="s">
        <v>638</v>
      </c>
      <c r="D15" s="7" t="s">
        <v>125</v>
      </c>
    </row>
    <row r="16" customFormat="false" ht="15" hidden="false" customHeight="false" outlineLevel="0" collapsed="false">
      <c r="A16" s="7" t="s">
        <v>662</v>
      </c>
      <c r="B16" s="7" t="s">
        <v>663</v>
      </c>
      <c r="C16" s="7" t="s">
        <v>629</v>
      </c>
      <c r="D16" s="7" t="s">
        <v>664</v>
      </c>
    </row>
    <row r="17" customFormat="false" ht="15" hidden="false" customHeight="false" outlineLevel="0" collapsed="false">
      <c r="A17" s="7" t="s">
        <v>665</v>
      </c>
      <c r="B17" s="7" t="s">
        <v>666</v>
      </c>
      <c r="C17" s="7" t="s">
        <v>629</v>
      </c>
      <c r="D17" s="7" t="s">
        <v>667</v>
      </c>
    </row>
    <row r="18" customFormat="false" ht="15" hidden="false" customHeight="false" outlineLevel="0" collapsed="false">
      <c r="A18" s="7" t="s">
        <v>668</v>
      </c>
      <c r="B18" s="7" t="s">
        <v>669</v>
      </c>
      <c r="C18" s="7" t="s">
        <v>670</v>
      </c>
      <c r="D18" s="7" t="s">
        <v>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2026-10-05T11:13:03Z</dcterms:created>
  <dc:creator>openpyxl</dc:creator>
  <dc:description/>
  <dc:language>en-US</dc:language>
  <cp:lastModifiedBy/>
  <dcterms:modified xsi:type="dcterms:W3CDTF">2026-10-05T11:13:03Z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