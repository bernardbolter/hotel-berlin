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AQs" sheetId="2" state="visible" r:id="rId4"/>
    <sheet name="Taxonomy" sheetId="3" state="visible" r:id="rId5"/>
    <sheet name="Tokens" sheetId="4" state="visible" r:id="rId6"/>
    <sheet name="Routes" sheetId="5" state="visible" r:id="rId7"/>
    <sheet name="Placement" sheetId="6" state="visible" r:id="rId8"/>
    <sheet name="Gaps" sheetId="7" state="visible" r:id="rId9"/>
    <sheet name="Contact routing" sheetId="8" state="visible" r:id="rId10"/>
    <sheet name="Source map" sheetId="9" state="visible" r:id="rId11"/>
  </sheets>
  <definedNames>
    <definedName function="false" hidden="true" localSheetId="1" name="_xlnm._FilterDatabase" vbProcedure="false">FAQs!$A$1:$M$39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<sst xmlns="http://schemas.openxmlformats.org/spreadsheetml/2006/main" count="1143" uniqueCount="757">
  <si>
    <t xml:space="preserve">Hotel Berlin, Berlin – FAQ triage workbook</t>
  </si>
  <si>
    <t xml:space="preserve">Built from the DialogShift chatbot export (42 rows). Every answer below is a DRAFT: the chatbot's answers were never signed off, and several contradict each other or the project.</t>
  </si>
  <si>
    <t xml:space="preserve">Sheets</t>
  </si>
  <si>
    <t xml:space="preserve">FAQs – the merged, rewritten set (EN + DE). Edit blue cells (topic, audience, priority, pins).</t>
  </si>
  <si>
    <t xml:space="preserve">Taxonomy – the topic list. FAQs belong to one topic plus an optional second.</t>
  </si>
  <si>
    <t xml:space="preserve">Tokens – every price, time, phone number and email is a {{token}} resolved from one source of truth, never typed into answer text.</t>
  </si>
  <si>
    <t xml:space="preserve">Routes – each page template, the topics it pulls, and its cap. Matched / Pinned / Shown / Trimmed are live.</t>
  </si>
  <si>
    <t xml:space="preserve">Placement – live matrix: which FAQ appears on which route. Change a topic, audience or pin and it updates.</t>
  </si>
  <si>
    <t xml:space="preserve">Gaps – FAQs the site needs that the chatbot export doesn't contain.</t>
  </si>
  <si>
    <t xml:space="preserve">Contact routing – the 'which email do I use' answers, to become a contact block rather than FAQs.</t>
  </si>
  <si>
    <t xml:space="preserve">Source map – all 42 original rows and where each one went.</t>
  </si>
  <si>
    <t xml:space="preserve">Rules the placement matrix applies</t>
  </si>
  <si>
    <t xml:space="preserve">1. Pinned FAQs always show on the route they are pinned to, regardless of audience.</t>
  </si>
  <si>
    <t xml:space="preserve">2. Otherwise a FAQ shows when its audience fits the route (both fits everything) AND its topic or second topic is one of the route's topics. A route topic of ALL matches every topic.</t>
  </si>
  <si>
    <t xml:space="preserve">3. Pinned FAQs come first, then the rest by priority up to the route's cap; anything trimmed stays on the full FAQ page.</t>
  </si>
  <si>
    <t xml:space="preserve">Status summary</t>
  </si>
  <si>
    <t xml:space="preserve">FAQs in total</t>
  </si>
  <si>
    <t xml:space="preserve">Ready</t>
  </si>
  <si>
    <t xml:space="preserve">Needs confirm</t>
  </si>
  <si>
    <t xml:space="preserve">HOLD (do not publish)</t>
  </si>
  <si>
    <t xml:space="preserve">Tokens in total</t>
  </si>
  <si>
    <t xml:space="preserve">Tokens needing a decision (Needs confirm + HOLD)</t>
  </si>
  <si>
    <t xml:space="preserve">Gaps to write</t>
  </si>
  <si>
    <t xml:space="preserve">Routes that over-fill their cap</t>
  </si>
  <si>
    <t xml:space="preserve">Routes with no FAQ at all</t>
  </si>
  <si>
    <t xml:space="preserve">FAQs that appear on no route</t>
  </si>
  <si>
    <t xml:space="preserve">ID</t>
  </si>
  <si>
    <t xml:space="preserve">Source rows (original sheet)</t>
  </si>
  <si>
    <t xml:space="preserve">Topic</t>
  </si>
  <si>
    <t xml:space="preserve">Topic 2</t>
  </si>
  <si>
    <t xml:space="preserve">Audience</t>
  </si>
  <si>
    <t xml:space="preserve">Priority (1 = top)</t>
  </si>
  <si>
    <t xml:space="preserve">Pin to routes</t>
  </si>
  <si>
    <t xml:space="preserve">Question (EN)</t>
  </si>
  <si>
    <t xml:space="preserve">Answer (EN)</t>
  </si>
  <si>
    <t xml:space="preserve">Question (DE)</t>
  </si>
  <si>
    <t xml:space="preserve">Answer (DE)</t>
  </si>
  <si>
    <t xml:space="preserve">Status</t>
  </si>
  <si>
    <t xml:space="preserve">Flags / open questions</t>
  </si>
  <si>
    <t xml:space="preserve">F01</t>
  </si>
  <si>
    <t xml:space="preserve">10</t>
  </si>
  <si>
    <t xml:space="preserve">checkin-checkout</t>
  </si>
  <si>
    <t xml:space="preserve">both</t>
  </si>
  <si>
    <t xml:space="preserve">What time can I check in, and what if I arrive late?</t>
  </si>
  <si>
    <t xml:space="preserve">Check-in starts at {{checkinTime}}. Reception is staffed 24 hours a day, so you can arrive at any hour, even if you're held up on the road. If you expect to arrive after 18:00, it helps if you let us know in advance, but you don't have to.</t>
  </si>
  <si>
    <t xml:space="preserve">Ab wann kann ich einchecken, und was ist, wenn ich spät ankomme?</t>
  </si>
  <si>
    <t xml:space="preserve">Der Check-in beginnt um {{checkinTime}} Uhr. Die Rezeption ist rund um die Uhr besetzt, du kannst also jederzeit anreisen, auch wenn du im Stau steckst. Wenn du nach 18:00 Uhr ankommst, sag uns gern vorher Bescheid – das hilft uns, ist aber nicht nötig.</t>
  </si>
  <si>
    <t xml:space="preserve">Chatbot never states the standard check-in time. 15:00 comes from the original Cursor brief stub (checkinTime) – hotel to confirm.</t>
  </si>
  <si>
    <t xml:space="preserve">F02</t>
  </si>
  <si>
    <t xml:space="preserve">16</t>
  </si>
  <si>
    <t xml:space="preserve">Can I check in online?</t>
  </si>
  <si>
    <t xml:space="preserve">Yes. A few days before you arrive we'll email you an invitation to check in online, from home or on the move. Once that's done, collect your room key at the self-check-in desk in the lobby. If anything goes wrong, reach the team by chat or call {{phoneReception}} at any time.</t>
  </si>
  <si>
    <t xml:space="preserve">Kann ich online einchecken?</t>
  </si>
  <si>
    <t xml:space="preserve">Ja. Ein paar Tage vor deiner Anreise schicken wir dir eine E-Mail mit der Einladung zum Online-Check-in – von zu Hause oder unterwegs. Danach holst du deinen Zimmerschlüssel am Self-Check-in-Desk in der Lobby ab. Wenn etwas nicht klappt, erreichst du das Team jederzeit per Chat oder unter {{phoneReception}}.</t>
  </si>
  <si>
    <t xml:space="preserve">Phone number conflict – see Tokens. Confirm the chat channel is live on the new site.</t>
  </si>
  <si>
    <t xml:space="preserve">F03</t>
  </si>
  <si>
    <t xml:space="preserve">25</t>
  </si>
  <si>
    <t xml:space="preserve">Can I leave my luggage before check-in?</t>
  </si>
  <si>
    <t xml:space="preserve">Yes, you're welcome to leave your luggage with us before you check in. Just speak to a member of staff in the lobby.</t>
  </si>
  <si>
    <t xml:space="preserve">Kann ich mein Gepäck vor dem Check-in abgeben?</t>
  </si>
  <si>
    <t xml:space="preserve">Ja, dein Gepäck kannst du gern vor dem Check-in bei uns lassen. Sprich dafür einfach unser Team in der Lobby an.</t>
  </si>
  <si>
    <t xml:space="preserve">Storage AFTER check-out is not covered anywhere – see Gaps G09.</t>
  </si>
  <si>
    <t xml:space="preserve">F04</t>
  </si>
  <si>
    <t xml:space="preserve">7</t>
  </si>
  <si>
    <t xml:space="preserve">policy-fees</t>
  </si>
  <si>
    <t xml:space="preserve">What time is check-out, and can I stay longer?</t>
  </si>
  <si>
    <t xml:space="preserve">Check-out is until {{checkoutTime}} on the day you leave. If you'd like to stay longer, please speak to reception in advance. Late check-out until {{lateCheckoutTime}} is available for {{lateCheckoutFee}}, subject to availability.</t>
  </si>
  <si>
    <t xml:space="preserve">Wann ist der Check-out, und kann ich länger bleiben?</t>
  </si>
  <si>
    <t xml:space="preserve">Der Check-out ist am Abreisetag bis {{checkoutTime}} Uhr möglich. Wenn du länger bleiben möchtest, sprich bitte vorab mit der Rezeption. Ein später Check-out bis {{lateCheckoutTime}} Uhr ist je nach Verfügbarkeit für {{lateCheckoutFee}} möglich.</t>
  </si>
  <si>
    <t xml:space="preserve">Check-out 12:00 matches the brief stub.</t>
  </si>
  <si>
    <t xml:space="preserve">F05</t>
  </si>
  <si>
    <t xml:space="preserve">27</t>
  </si>
  <si>
    <t xml:space="preserve">guest</t>
  </si>
  <si>
    <t xml:space="preserve">Do I need to leave my key in the room at check-out?</t>
  </si>
  <si>
    <t xml:space="preserve">No. Check out at one of the check-out terminals in the lobby, or check out online and drop your key in the key box. If you need help, ask reception.</t>
  </si>
  <si>
    <t xml:space="preserve">Muss ich beim Check-out den Schlüssel im Zimmer lassen?</t>
  </si>
  <si>
    <t xml:space="preserve">Nein. Du kannst an den Check-out-Terminals in der Lobby auschecken oder online auschecken und deinen Schlüssel in die Rückgabebox werfen. Bei Fragen hilft dir die Rezeption gern.</t>
  </si>
  <si>
    <t xml:space="preserve">F06</t>
  </si>
  <si>
    <t xml:space="preserve">11, 12</t>
  </si>
  <si>
    <t xml:space="preserve">parking</t>
  </si>
  <si>
    <t xml:space="preserve">getting-here</t>
  </si>
  <si>
    <t xml:space="preserve">policy-fees, meetings</t>
  </si>
  <si>
    <t xml:space="preserve">Can I reserve parking, and how much does it cost?</t>
  </si>
  <si>
    <t xml:space="preserve">You can't reserve a space in advance, and you don't need to: there are {{parkingSpaces}} spaces, outdoors and in an underground garage (maximum vehicle height {{parkingMaxHeight}}). Parking costs {{parkingHourly}} per hour, up to a maximum of {{parkingDaily}} per 24-hour period. A parking day is counted in 24-hour blocks, so you pay the hourly rate until you reach the daily maximum.</t>
  </si>
  <si>
    <t xml:space="preserve">Kann ich einen Parkplatz reservieren, und was kostet das Parken?</t>
  </si>
  <si>
    <t xml:space="preserve">Eine Reservierung ist nicht möglich und auch nicht nötig: Es gibt {{parkingSpaces}} Stellplätze im Freien und in der Tiefgarage (maximale Fahrzeughöhe {{parkingMaxHeight}}). Parken kostet {{parkingHourly}} pro Stunde, höchstens {{parkingDaily}} pro 24-Stunden-Zeitraum. Ein Parktag wird in 24-Stunden-Blöcken gerechnet: Bis zum Tageshöchstsatz zahlst du den Stundentarif.</t>
  </si>
  <si>
    <t xml:space="preserve">Merged rows 11 + 12. Row 11 said 'over 200 spaces', row 12 said 208 – token uses 208. Confirm still current. Prices live in a token, not in text.</t>
  </si>
  <si>
    <t xml:space="preserve">F07</t>
  </si>
  <si>
    <t xml:space="preserve">22</t>
  </si>
  <si>
    <t xml:space="preserve">home, meetings</t>
  </si>
  <si>
    <t xml:space="preserve">Do you offer an airport transfer, and how do I get to the hotel from the airport?</t>
  </si>
  <si>
    <t xml:space="preserve">We don't run our own airport shuttle, but public transport works well. From the airport, take the RE20 or FEX train to Südkreuz, then bus 106 to Lützowplatz, which stops right outside our door. Alternatively, take bus M46 to Schillstraße.</t>
  </si>
  <si>
    <t xml:space="preserve">Gibt es einen Flughafentransfer, und wie komme ich vom Flughafen zum Hotel?</t>
  </si>
  <si>
    <t xml:space="preserve">Einen eigenen Shuttle vom Flughafen haben wir nicht, mit den Öffentlichen kommst du aber gut zu uns. Vom Flughafen nimmst du den RE20 oder FEX bis Südkreuz und dann den Bus 106 bis Lützowplatz – die Haltestelle liegt direkt vor unserer Tür. Alternativ fährt der Bus M46 bis Schillstraße.</t>
  </si>
  <si>
    <t xml:space="preserve">VERIFY the route against current BVG/VBB data (RE20/FEX to Südkreuz from BER). Chatbot emojis removed. Related: Gaps G07/G08.</t>
  </si>
  <si>
    <t xml:space="preserve">F08</t>
  </si>
  <si>
    <t xml:space="preserve">4</t>
  </si>
  <si>
    <t xml:space="preserve">breakfast</t>
  </si>
  <si>
    <t xml:space="preserve">dining</t>
  </si>
  <si>
    <t xml:space="preserve">When is breakfast served?</t>
  </si>
  <si>
    <t xml:space="preserve">Breakfast is served Monday to Friday from {{breakfastWeekday}}, and at weekends and on public holidays from {{breakfastWeekend}}.</t>
  </si>
  <si>
    <t xml:space="preserve">Wann gibt es Frühstück?</t>
  </si>
  <si>
    <t xml:space="preserve">Frühstück gibt es montags bis freitags von {{breakfastWeekday}} Uhr, am Wochenende und an Feiertagen von {{breakfastWeekend}} Uhr.</t>
  </si>
  <si>
    <t xml:space="preserve">F09</t>
  </si>
  <si>
    <t xml:space="preserve">6</t>
  </si>
  <si>
    <t xml:space="preserve">Where is the breakfast restaurant?</t>
  </si>
  <si>
    <t xml:space="preserve">The breakfast restaurant is at the end of the lobby hall.</t>
  </si>
  <si>
    <t xml:space="preserve">Wo finde ich das Frühstücksrestaurant?</t>
  </si>
  <si>
    <t xml:space="preserve">Das Frühstücksrestaurant liegt am Ende der Lobbyhalle.</t>
  </si>
  <si>
    <t xml:space="preserve">Dropped the 'follow the aroma of fresh bread rolls' chatbot line – add back if you want that voice.</t>
  </si>
  <si>
    <t xml:space="preserve">F10</t>
  </si>
  <si>
    <t xml:space="preserve">14</t>
  </si>
  <si>
    <t xml:space="preserve">Can I book breakfast after I've booked my room, and what does it cost?</t>
  </si>
  <si>
    <t xml:space="preserve">Yes. If you didn't add breakfast when you booked, you can add it later for {{breakfastPrice}} per person. Children aged {{breakfastChildMinAge}} and over pay {{breakfastPriceChild}}.</t>
  </si>
  <si>
    <t xml:space="preserve">Kann ich Frühstück nachbuchen, und was kostet es?</t>
  </si>
  <si>
    <t xml:space="preserve">Ja. Wenn du bei der Buchung kein Frühstück gewählt hast, kannst du es später für {{breakfastPrice}} pro Person dazubuchen. Kinder ab {{breakfastChildMinAge}} Jahren zahlen {{breakfastPriceChild}}.</t>
  </si>
  <si>
    <t xml:space="preserve">Children under 6 not covered – Gaps G04.</t>
  </si>
  <si>
    <t xml:space="preserve">F11</t>
  </si>
  <si>
    <t xml:space="preserve">5</t>
  </si>
  <si>
    <t xml:space="preserve">in-room</t>
  </si>
  <si>
    <t xml:space="preserve">Do you have room service?</t>
  </si>
  <si>
    <t xml:space="preserve">There's no room service, but the team is happy to recommend good delivery services in Berlin – just ask at reception. You can also pick up your breakfast or dinner from the restaurant and enjoy it in your room.</t>
  </si>
  <si>
    <t xml:space="preserve">Gibt es Zimmerservice?</t>
  </si>
  <si>
    <t xml:space="preserve">Einen Zimmerservice gibt es nicht. Die Rezeption empfiehlt dir aber gern gute Lieferdienste in Berlin. Du kannst dir auch Frühstück oder Abendessen im Restaurant abholen und auf dem Zimmer essen.</t>
  </si>
  <si>
    <t xml:space="preserve">Confirm that taking breakfast/dinner to the room is really allowed (chatbot claim).</t>
  </si>
  <si>
    <t xml:space="preserve">F12</t>
  </si>
  <si>
    <t xml:space="preserve">15</t>
  </si>
  <si>
    <t xml:space="preserve">wifi</t>
  </si>
  <si>
    <t xml:space="preserve">How do I connect to the WiFi?</t>
  </si>
  <si>
    <t xml:space="preserve">WiFi is free throughout the hotel. Connect to the network {{wifiSsid}}; the login page should open automatically. Accept the terms and conditions and you're online.</t>
  </si>
  <si>
    <t xml:space="preserve">Wie verbinde ich mich mit dem WLAN?</t>
  </si>
  <si>
    <t xml:space="preserve">Im ganzen Haus gibt es kostenloses WLAN. Verbinde dich mit dem Netzwerk {{wifiSsid}}; die Anmeldeseite öffnet sich automatisch. Akzeptiere die Nutzungsbedingungen, und du bist online.</t>
  </si>
  <si>
    <t xml:space="preserve">HOLD</t>
  </si>
  <si>
    <t xml:space="preserve">Standing instruction: do not seed WiFi details as fact until the hotel confirms (launch checklist 3.12 / D3). Removed 'high-speed' – no speed is claimed anywhere else.</t>
  </si>
  <si>
    <t xml:space="preserve">F13</t>
  </si>
  <si>
    <t xml:space="preserve">17</t>
  </si>
  <si>
    <t xml:space="preserve">pets</t>
  </si>
  <si>
    <t xml:space="preserve">Can I bring my dog?</t>
  </si>
  <si>
    <t xml:space="preserve">Yes, dogs are welcome. There's a charge of {{petFee}} per night. Please tell us in advance that you're bringing your dog so we can prepare. Dogs are also welcome at breakfast. Questions? Email {{emailInfo}} or call {{phoneMain}}.</t>
  </si>
  <si>
    <t xml:space="preserve">Kann ich meinen Hund mitbringen?</t>
  </si>
  <si>
    <t xml:space="preserve">Ja, Hunde sind bei uns willkommen. Wir berechnen {{petFee}} pro Nacht. Gib uns bitte vorab Bescheid, dass du deinen Hund mitbringst, damit wir alles vorbereiten können. Dein Hund darf auch mit zum Frühstück. Fragen? Schreib an {{emailInfo}} oder ruf an unter {{phoneMain}}.</t>
  </si>
  <si>
    <t xml:space="preserve">Original said 'pets such as dogs' – are other pets allowed? (Gaps G16). Phone conflict.</t>
  </si>
  <si>
    <t xml:space="preserve">F14</t>
  </si>
  <si>
    <t xml:space="preserve">18</t>
  </si>
  <si>
    <t xml:space="preserve">rooms</t>
  </si>
  <si>
    <t xml:space="preserve">prospect</t>
  </si>
  <si>
    <t xml:space="preserve">Can I request a quiet room?</t>
  </si>
  <si>
    <t xml:space="preserve">Every room category has rooms facing the street and rooms facing the courtyard. If you're sensitive to noise, mention it when you book and reception will do its best to give you a quieter room.</t>
  </si>
  <si>
    <t xml:space="preserve">Kann ich ein ruhiges Zimmer bekommen?</t>
  </si>
  <si>
    <t xml:space="preserve">In jeder Zimmerkategorie gibt es Zimmer zur Straße und zum Innenhof. Wenn du lärmempfindlich bist, gib das bitte bei der Buchung an – die Rezeption versucht dann, dir ein ruhigeres Zimmer zuzuweisen.</t>
  </si>
  <si>
    <t xml:space="preserve">Dropped 'situated in the centre of the capital' (imprecise).</t>
  </si>
  <si>
    <t xml:space="preserve">F15</t>
  </si>
  <si>
    <t xml:space="preserve">38</t>
  </si>
  <si>
    <t xml:space="preserve">Do any rooms have a balcony?</t>
  </si>
  <si>
    <t xml:space="preserve">Some Premium rooms have a very small balcony. It has no seating, and smoking isn't permitted there. If a balcony matters to you, mention it when you book and we'll try to accommodate you, subject to availability.</t>
  </si>
  <si>
    <t xml:space="preserve">Gibt es Zimmer mit Balkon?</t>
  </si>
  <si>
    <t xml:space="preserve">Einige Premium-Zimmer haben einen sehr kleinen Balkon. Er hat keine Sitzmöbel, und Rauchen ist dort nicht erlaubt. Wenn dir ein Balkon wichtig ist, gib das bitte bei der Buchung an; wir versuchen dann, ihn je nach Verfügbarkeit zu berücksichtigen.</t>
  </si>
  <si>
    <t xml:space="preserve">Good candidate to pin to specific room-detail pages via pinnedEntities (only rooms that actually have balconies).</t>
  </si>
  <si>
    <t xml:space="preserve">F16</t>
  </si>
  <si>
    <t xml:space="preserve">35</t>
  </si>
  <si>
    <t xml:space="preserve">Which are the largest rooms?</t>
  </si>
  <si>
    <t xml:space="preserve">The largest is Studio 45 at {{roomLargestSize}}, with its own sauna, a large bath, a lounge, a DJ deck and vinyl records. Next come the Premium Family Rooms (from {{roomFamilySize}}), and the Premium Rooms are also spacious at {{roomPremiumSize}}.</t>
  </si>
  <si>
    <t xml:space="preserve">Welche Zimmer sind die größten?</t>
  </si>
  <si>
    <t xml:space="preserve">Das größte Zimmer ist das Studio 45 mit {{roomLargestSize}}, mit eigener Sauna, großer Badewanne, Lounge, DJ-Pult und Vinylplatten. Danach kommen die Premium Family Rooms (ab {{roomFamilySize}}); auch die Premium-Zimmer sind mit {{roomPremiumSize}} sehr geräumig.</t>
  </si>
  <si>
    <t xml:space="preserve">Check against rooms.floorSizeM2 – ideally the tokens read from the rooms collection. 'Studio 45' at 95 m² – confirm the name/size pairing.</t>
  </si>
  <si>
    <t xml:space="preserve">F17</t>
  </si>
  <si>
    <t xml:space="preserve">32</t>
  </si>
  <si>
    <t xml:space="preserve">How do I find my room?</t>
  </si>
  <si>
    <t xml:space="preserve">Check your room number. Three-digit numbers (for example 315) are in the premium wing on the 3rd floor – take the lifts at the end of the lobby hall. For four-digit numbers (for example 1315), take the lifts in the lobby hall next to the kiosks. [CONFIRM: floor for four-digit rooms]</t>
  </si>
  <si>
    <t xml:space="preserve">Wie finde ich mein Zimmer?</t>
  </si>
  <si>
    <t xml:space="preserve">Schau auf deine Zimmernummer. Dreistellige Nummern (z. B. 315) liegen im Premium-Flügel im 3. Stock – nimm die Aufzüge am Ende der Lobbyhalle. Bei vierstelligen Nummern (z. B. 1315) nimmst du die Aufzüge in der Lobbyhalle neben den Kiosken. [BESTÄTIGEN: Etage der vierstelligen Zimmer]</t>
  </si>
  <si>
    <t xml:space="preserve">Original says BOTH 315 and 1315 are on the 3rd floor – almost certainly wrong. Also the original had unbalanced brackets.</t>
  </si>
  <si>
    <t xml:space="preserve">F18</t>
  </si>
  <si>
    <t xml:space="preserve">23</t>
  </si>
  <si>
    <t xml:space="preserve">Do I need my key card to use the lifts?</t>
  </si>
  <si>
    <t xml:space="preserve">Yes, you need your key card to use the lifts.</t>
  </si>
  <si>
    <t xml:space="preserve">Brauche ich meine Schlüsselkarte für den Aufzug?</t>
  </si>
  <si>
    <t xml:space="preserve">Ja, für die Aufzüge brauchst du deine Schlüsselkarte.</t>
  </si>
  <si>
    <t xml:space="preserve">F19</t>
  </si>
  <si>
    <t xml:space="preserve">31</t>
  </si>
  <si>
    <t xml:space="preserve">Is there a Nespresso machine in the room?</t>
  </si>
  <si>
    <t xml:space="preserve">Yes, your room has a Nespresso machine for your use. [CONFIRM: capsules included? complimentary or charged?]</t>
  </si>
  <si>
    <t xml:space="preserve">Gibt es eine Nespresso-Maschine im Zimmer?</t>
  </si>
  <si>
    <t xml:space="preserve">Ja, in deinem Zimmer steht eine Nespresso-Maschine zur Verfügung. [BESTÄTIGEN: Kapseln inklusive? Kostenlos oder kostenpflichtig?]</t>
  </si>
  <si>
    <t xml:space="preserve">Chatbot said capsules are 'from Rezemo' – looks like a typo/hallucination; not repeated. Need the real answer.</t>
  </si>
  <si>
    <t xml:space="preserve">F20</t>
  </si>
  <si>
    <t xml:space="preserve">33</t>
  </si>
  <si>
    <t xml:space="preserve">sustainability</t>
  </si>
  <si>
    <t xml:space="preserve">Is my room cleaned every day?</t>
  </si>
  <si>
    <t xml:space="preserve">We clean your room every second day. If you'd rather skip a cleaning, you can become a Green Hero and opt out.</t>
  </si>
  <si>
    <t xml:space="preserve">Wird mein Zimmer täglich gereinigt?</t>
  </si>
  <si>
    <t xml:space="preserve">Wir reinigen dein Zimmer jeden zweiten Tag. Wenn du darauf verzichten möchtest, werde Green Hero und überspringe die Reinigung.</t>
  </si>
  <si>
    <t xml:space="preserve">Explain how the Green Hero opt-out works (sign at reception? door hanger? any reward?) and link to the sustainability page.</t>
  </si>
  <si>
    <t xml:space="preserve">F21</t>
  </si>
  <si>
    <t xml:space="preserve">42</t>
  </si>
  <si>
    <t xml:space="preserve">Can I connect my own streaming stick (e.g. Amazon Fire TV) to the TV?</t>
  </si>
  <si>
    <t xml:space="preserve">Unfortunately not – the TV's HDMI ports are locked for other devices. Ask reception about your options; some rooms may have a streaming platform built in.</t>
  </si>
  <si>
    <t xml:space="preserve">Kann ich meinen eigenen Streaming-Stick (z. B. Amazon Fire TV) am Fernseher anschließen?</t>
  </si>
  <si>
    <t xml:space="preserve">Leider nicht – die HDMI-Anschlüsse sind für andere Geräte gesperrt. Frag bitte an der Rezeption nach Alternativen; eventuell gibt es Zimmer mit integrierter Streaming-Plattform.</t>
  </si>
  <si>
    <t xml:space="preserve">'Maybe rooms with integrated streaming' is vague – which rooms? Casting (Chromecast/AirPlay) not mentioned.</t>
  </si>
  <si>
    <t xml:space="preserve">F22</t>
  </si>
  <si>
    <t xml:space="preserve">43</t>
  </si>
  <si>
    <t xml:space="preserve">services</t>
  </si>
  <si>
    <t xml:space="preserve">Where can I get a power adapter?</t>
  </si>
  <si>
    <t xml:space="preserve">The Wundermart shop in our lobby has what you need. [CONFIRM: adapters stocked? loan at reception?]</t>
  </si>
  <si>
    <t xml:space="preserve">Wo bekomme ich einen Steckdosenadapter?</t>
  </si>
  <si>
    <t xml:space="preserve">In unserer Lobby findest du den Wundermart-Shop – dort gibt es, was du brauchst. [BESTÄTIGEN: Adapter im Sortiment? Verleih an der Rezeption?]</t>
  </si>
  <si>
    <t xml:space="preserve">Chatbot said 'anything you need' without naming adapters.</t>
  </si>
  <si>
    <t xml:space="preserve">F23</t>
  </si>
  <si>
    <t xml:space="preserve">3</t>
  </si>
  <si>
    <t xml:space="preserve">Can I borrow an iron or an ironing board?</t>
  </si>
  <si>
    <t xml:space="preserve">Yes – call reception on {{phoneReception}} and the team will bring an iron to your room. [CONFIRM: ironing board available?]</t>
  </si>
  <si>
    <t xml:space="preserve">Kann ich ein Bügeleisen oder ein Bügelbrett leihen?</t>
  </si>
  <si>
    <t xml:space="preserve">Ja – ruf die Rezeption unter {{phoneReception}} an, dann bringt dir das Team ein Bügeleisen aufs Zimmer. [BESTÄTIGEN: Bügelbrett verfügbar?]</t>
  </si>
  <si>
    <t xml:space="preserve">Guest asked for an ironing board; the chatbot only answered about an iron.</t>
  </si>
  <si>
    <t xml:space="preserve">F24</t>
  </si>
  <si>
    <t xml:space="preserve">8, 9</t>
  </si>
  <si>
    <t xml:space="preserve">Do you offer a laundry service?</t>
  </si>
  <si>
    <t xml:space="preserve">Yes. We pick up your laundry from your room and have it cleaned by an external laundry – just let the team know. There are no coin-operated or self-service laundry facilities in the hotel.</t>
  </si>
  <si>
    <t xml:space="preserve">Gibt es einen Wäscheservice?</t>
  </si>
  <si>
    <t xml:space="preserve">Ja. Wir holen deine Wäsche auf dem Zimmer ab und lassen sie extern reinigen – sag dem Team einfach Bescheid. Einen Waschsalon oder Self-Service-Waschmaschinen gibt es im Haus nicht.</t>
  </si>
  <si>
    <t xml:space="preserve">Merged rows 8 + 9. No turnaround time or prices anywhere – Gaps G11.</t>
  </si>
  <si>
    <t xml:space="preserve">F25</t>
  </si>
  <si>
    <t xml:space="preserve">39</t>
  </si>
  <si>
    <t xml:space="preserve">Can you print a document for me?</t>
  </si>
  <si>
    <t xml:space="preserve">Yes. Email the attachment to {{emailInfo}} and the reception team will print it for you.</t>
  </si>
  <si>
    <t xml:space="preserve">Könnt ihr ein Dokument für mich ausdrucken?</t>
  </si>
  <si>
    <t xml:space="preserve">Ja. Schick den Anhang per E-Mail an {{emailInfo}}, die Rezeption druckt ihn für dich aus.</t>
  </si>
  <si>
    <t xml:space="preserve">Any charge? Guests only? Gaps G15.</t>
  </si>
  <si>
    <t xml:space="preserve">F26</t>
  </si>
  <si>
    <t xml:space="preserve">20</t>
  </si>
  <si>
    <t xml:space="preserve">wellness</t>
  </si>
  <si>
    <t xml:space="preserve">here</t>
  </si>
  <si>
    <t xml:space="preserve">What are the sauna opening hours?</t>
  </si>
  <si>
    <t xml:space="preserve">Our complimentary sauna area has a Finnish sauna and a sanarium. It's open daily {{saunaHours}}, except June to August, when it's available on request. Please let reception know at least {{saunaNotice}} before your visit so it can be prepared.</t>
  </si>
  <si>
    <t xml:space="preserve">Wann ist die Sauna geöffnet?</t>
  </si>
  <si>
    <t xml:space="preserve">In unserem kostenlosen Saunabereich findest du eine finnische Sauna und ein Sanarium. Geöffnet ist täglich {{saunaHours}} Uhr, außer von Juni bis August – dann auf Anfrage. Sag bitte mindestens {{saunaNotice}} vor deinem Besuch an der Rezeption Bescheid, damit wir alles vorbereiten können.</t>
  </si>
  <si>
    <t xml:space="preserve">Launch checklist 3.13: two published sauna schedules conflict. Don't publish hours until the hotel picks one.</t>
  </si>
  <si>
    <t xml:space="preserve">F27</t>
  </si>
  <si>
    <t xml:space="preserve">21</t>
  </si>
  <si>
    <t xml:space="preserve">Is the sauna clothing-free?</t>
  </si>
  <si>
    <t xml:space="preserve">In Germany it's common to use the sauna without swimwear, usually wrapped in a towel. In our hotel it isn't required – if you feel more comfortable covered up, that's absolutely fine.</t>
  </si>
  <si>
    <t xml:space="preserve">Ist die Sauna textilfrei?</t>
  </si>
  <si>
    <t xml:space="preserve">In Deutschland ist es üblich, ohne Badebekleidung in die Sauna zu gehen, meist nur mit einem Handtuch. Bei uns im Hotel ist das keine Pflicht – wenn du dich bekleidet wohler fühlst, ist das völlig in Ordnung.</t>
  </si>
  <si>
    <t xml:space="preserve">Chatbot wrote 'textile clothing'; softened to 'swimwear'.</t>
  </si>
  <si>
    <t xml:space="preserve">F28</t>
  </si>
  <si>
    <t xml:space="preserve">30</t>
  </si>
  <si>
    <t xml:space="preserve">Who can use the gym?</t>
  </si>
  <si>
    <t xml:space="preserve">The fitness area is free for all hotel guests and open around the clock, 24/7. It is for hotel guests only.</t>
  </si>
  <si>
    <t xml:space="preserve">Wer darf den Fitnessraum nutzen?</t>
  </si>
  <si>
    <t xml:space="preserve">Der Fitnessbereich ist für alle Hotelgäste kostenlos und rund um die Uhr geöffnet. Die Nutzung ist Hotelgästen vorbehalten.</t>
  </si>
  <si>
    <t xml:space="preserve">Original contained 'no age restriction at the Quellen' – nonsense artefact, removed. Is there actually an age restriction? Open.</t>
  </si>
  <si>
    <t xml:space="preserve">F29</t>
  </si>
  <si>
    <t xml:space="preserve">24</t>
  </si>
  <si>
    <t xml:space="preserve">activities</t>
  </si>
  <si>
    <t xml:space="preserve">Is there still a fingerboard park?</t>
  </si>
  <si>
    <t xml:space="preserve">Yes, the fingerboard park is still there. [ADD: where to find it, opening times]</t>
  </si>
  <si>
    <t xml:space="preserve">Gibt es den Fingerboard-Park noch?</t>
  </si>
  <si>
    <t xml:space="preserve">Ja, den Fingerboard-Park gibt es noch. [ERGÄNZEN: Ort und Zeiten]</t>
  </si>
  <si>
    <t xml:space="preserve">Launch checklist 3.15: location, photos and hours still outstanding from the hotel.</t>
  </si>
  <si>
    <t xml:space="preserve">F30</t>
  </si>
  <si>
    <t xml:space="preserve">34</t>
  </si>
  <si>
    <t xml:space="preserve">bikes</t>
  </si>
  <si>
    <t xml:space="preserve">Can I store my own bike at the hotel?</t>
  </si>
  <si>
    <t xml:space="preserve">Yes, you're welcome to bring your own bicycle. You can store it safely in a dedicated garage at the hotel.</t>
  </si>
  <si>
    <t xml:space="preserve">Kann ich mein eigenes Fahrrad im Hotel unterstellen?</t>
  </si>
  <si>
    <t xml:space="preserve">Ja, du kannst dein Fahrrad gern mitbringen und sicher in unserer Fahrradgarage abstellen.</t>
  </si>
  <si>
    <t xml:space="preserve">F31</t>
  </si>
  <si>
    <t xml:space="preserve">44</t>
  </si>
  <si>
    <t xml:space="preserve">Can I rent a bike?</t>
  </si>
  <si>
    <t xml:space="preserve">Yes, there's a bike hire station right at the hotel. Scan the QR code at the station, download the app, and you're ready to ride.</t>
  </si>
  <si>
    <t xml:space="preserve">Kann ich ein Fahrrad leihen?</t>
  </si>
  <si>
    <t xml:space="preserve">Ja, direkt im Hotel gibt es eine Leihstation. Scanne dort den QR-Code, lade die App herunter, und es kann losgehen.</t>
  </si>
  <si>
    <t xml:space="preserve">Which provider/app, and what does it cost? Not stated.</t>
  </si>
  <si>
    <t xml:space="preserve">F32</t>
  </si>
  <si>
    <t xml:space="preserve">37</t>
  </si>
  <si>
    <t xml:space="preserve">payment</t>
  </si>
  <si>
    <t xml:space="preserve">Can I pay without a credit card?</t>
  </si>
  <si>
    <t xml:space="preserve">Yes. We accept debit cards and contactless payments such as Apple Pay, Google Pay and Giropay. The hotel is entirely cashless, so we can't accept cash.</t>
  </si>
  <si>
    <t xml:space="preserve">Kann ich auch ohne Kreditkarte bezahlen?</t>
  </si>
  <si>
    <t xml:space="preserve">Ja. Wir akzeptieren Debitkarten und kontaktlose Zahlungen wie Apple Pay, Google Pay und Giropay. Das Hotel ist komplett bargeldlos, Barzahlung ist daher nicht möglich.</t>
  </si>
  <si>
    <t xml:space="preserve">VERIFY Giropay is still a live payment method. 'Entirely cashless' is a policy statement – hotel to confirm wording (feeds /policies/payment).</t>
  </si>
  <si>
    <t xml:space="preserve">F33</t>
  </si>
  <si>
    <t xml:space="preserve">28</t>
  </si>
  <si>
    <t xml:space="preserve">loyalty</t>
  </si>
  <si>
    <t xml:space="preserve">Do you have a loyalty programme?</t>
  </si>
  <si>
    <t xml:space="preserve">Yes, you can take part in Radisson Rewards, which is open to new and returning guests. Members can earn points towards free nights, get member rates and discounts on food and drinks, and enjoy priority check-in and check-out. See the programme terms for current benefits.</t>
  </si>
  <si>
    <t xml:space="preserve">Gibt es ein Bonusprogramm?</t>
  </si>
  <si>
    <t xml:space="preserve">Ja, du kannst bei uns an Radisson Rewards teilnehmen – offen für neue und bestehende Mitglieder. Mitglieder sammeln Punkte für Freinächte, erhalten Mitgliedsraten und Rabatte auf Speisen und Getränke und profitieren von bevorzugtem Check-in und Check-out. Aktuelle Vorteile findest du in den Programmbedingungen.</t>
  </si>
  <si>
    <t xml:space="preserve">Removed 'save up to 15%' and 'easier premium status' – third-party programme claims that go stale. Confirm programme name and link target.</t>
  </si>
  <si>
    <t xml:space="preserve">F34</t>
  </si>
  <si>
    <t xml:space="preserve">29</t>
  </si>
  <si>
    <t xml:space="preserve">lost-property</t>
  </si>
  <si>
    <t xml:space="preserve">contact</t>
  </si>
  <si>
    <t xml:space="preserve">I lost something at the hotel. What should I do?</t>
  </si>
  <si>
    <t xml:space="preserve">Our Guest Care Center keeps a record of all found items. Register your lost item using our online form ({{lostPropertyUrl}}) and we'll get back to you.</t>
  </si>
  <si>
    <t xml:space="preserve">Ich habe etwas im Hotel verloren – was kann ich tun?</t>
  </si>
  <si>
    <t xml:space="preserve">Unser Guest Care Center führt eine Liste aller gefundenen Gegenstände. Melde deinen Verlust über unser Online-Formular ({{lostPropertyUrl}}), wir melden uns bei dir.</t>
  </si>
  <si>
    <t xml:space="preserve">Original answer lost its first letter ('f you have lost…'). Emoji removed. Confirm the form URL.</t>
  </si>
  <si>
    <t xml:space="preserve">F35</t>
  </si>
  <si>
    <t xml:space="preserve">36</t>
  </si>
  <si>
    <t xml:space="preserve">meetings</t>
  </si>
  <si>
    <t xml:space="preserve">How do I book a meeting room?</t>
  </si>
  <si>
    <t xml:space="preserve">Send us an enquiry through our meeting request form, or email our conference team at {{emailConference}}.</t>
  </si>
  <si>
    <t xml:space="preserve">Wie buche ich einen Tagungsraum?</t>
  </si>
  <si>
    <t xml:space="preserve">Nutze unser Anfrageformular für Tagungen oder schreib an unser Conference-Team: {{emailConference}}.</t>
  </si>
  <si>
    <t xml:space="preserve">Chatbot only gave the email; form reference added from the Meetings brief (/meetings/request).</t>
  </si>
  <si>
    <t xml:space="preserve">F36</t>
  </si>
  <si>
    <t xml:space="preserve">19, 26</t>
  </si>
  <si>
    <t xml:space="preserve">How can I contact the hotel?</t>
  </si>
  <si>
    <t xml:space="preserve">Phone: {{phoneMain}}. Email: {{emailInfo}}. For room and booking enquiries: {{emailReservations}}. Address: {{hotelAddress}}.</t>
  </si>
  <si>
    <t xml:space="preserve">Wie kann ich das Hotel kontaktieren?</t>
  </si>
  <si>
    <t xml:space="preserve">Telefon: {{phoneMain}}. E-Mail: {{emailInfo}}. Für Zimmer- und Buchungsanfragen: {{emailReservations}}. Adresse: {{hotelAddress}}.</t>
  </si>
  <si>
    <t xml:space="preserve">Merged rows 19 + 26. Three different phone numbers in the sheet – see Tokens. Should really be a contact block, not an accordion item.</t>
  </si>
  <si>
    <t xml:space="preserve">F37</t>
  </si>
  <si>
    <t xml:space="preserve">41</t>
  </si>
  <si>
    <t xml:space="preserve">How do I change a prepayment invoice?</t>
  </si>
  <si>
    <t xml:space="preserve">Email {{emailInfo}} with the invoice number, the new billing address and the email address the amended invoice should be sent to.</t>
  </si>
  <si>
    <t xml:space="preserve">Wie lasse ich eine Vorauszahlungsrechnung ändern?</t>
  </si>
  <si>
    <t xml:space="preserve">Schreib an {{emailInfo}} und gib die Rechnungsnummer, die neue Rechnungsadresse und die E-Mail-Adresse an, an die die geänderte Rechnung gehen soll.</t>
  </si>
  <si>
    <t xml:space="preserve">Only relevant to people with an existing booking – low priority.</t>
  </si>
  <si>
    <t xml:space="preserve">F38</t>
  </si>
  <si>
    <t xml:space="preserve">40</t>
  </si>
  <si>
    <t xml:space="preserve">Who is the contact for sustainability?</t>
  </si>
  <si>
    <t xml:space="preserve">Our Sustainability Manager is happy to answer your questions: {{emailSustainability}}.</t>
  </si>
  <si>
    <t xml:space="preserve">Wer ist Ansprechperson für Nachhaltigkeit?</t>
  </si>
  <si>
    <t xml:space="preserve">Unser Nachhaltigkeitsmanagement beantwortet deine Fragen gern: {{emailSustainability}}.</t>
  </si>
  <si>
    <t xml:space="preserve">Better as a contact line on the sustainability page; kept here so the topic has an entry.</t>
  </si>
  <si>
    <t xml:space="preserve">Topic slug</t>
  </si>
  <si>
    <t xml:space="preserve">Label (EN)</t>
  </si>
  <si>
    <t xml:space="preserve">Label (DE)</t>
  </si>
  <si>
    <t xml:space="preserve">Covers</t>
  </si>
  <si>
    <t xml:space="preserve">FAQs (primary + secondary)</t>
  </si>
  <si>
    <t xml:space="preserve">Check-in &amp; check-out</t>
  </si>
  <si>
    <t xml:space="preserve">Check-in &amp; Check-out</t>
  </si>
  <si>
    <t xml:space="preserve">Times, online check-in, luggage, late check-out</t>
  </si>
  <si>
    <t xml:space="preserve">Getting here</t>
  </si>
  <si>
    <t xml:space="preserve">Anreise</t>
  </si>
  <si>
    <t xml:space="preserve">Airport, trains, public transport</t>
  </si>
  <si>
    <t xml:space="preserve">Parking</t>
  </si>
  <si>
    <t xml:space="preserve">Parken</t>
  </si>
  <si>
    <t xml:space="preserve">Spaces, prices, height limits</t>
  </si>
  <si>
    <t xml:space="preserve">Breakfast</t>
  </si>
  <si>
    <t xml:space="preserve">Frühstück</t>
  </si>
  <si>
    <t xml:space="preserve">Times, location, price</t>
  </si>
  <si>
    <t xml:space="preserve">Eating &amp; drinking</t>
  </si>
  <si>
    <t xml:space="preserve">Essen &amp; Trinken</t>
  </si>
  <si>
    <t xml:space="preserve">Restaurant, bar, room service</t>
  </si>
  <si>
    <t xml:space="preserve">Rooms</t>
  </si>
  <si>
    <t xml:space="preserve">Zimmer</t>
  </si>
  <si>
    <t xml:space="preserve">Room types, views, balconies, sizes</t>
  </si>
  <si>
    <t xml:space="preserve">In your room</t>
  </si>
  <si>
    <t xml:space="preserve">Im Zimmer</t>
  </si>
  <si>
    <t xml:space="preserve">Equipment and housekeeping</t>
  </si>
  <si>
    <t xml:space="preserve">WiFi</t>
  </si>
  <si>
    <t xml:space="preserve">WLAN</t>
  </si>
  <si>
    <t xml:space="preserve">Connecting and terms</t>
  </si>
  <si>
    <t xml:space="preserve">Sauna &amp; fitness</t>
  </si>
  <si>
    <t xml:space="preserve">Sauna &amp; Fitness</t>
  </si>
  <si>
    <t xml:space="preserve">Sauna, gym</t>
  </si>
  <si>
    <t xml:space="preserve">Activities</t>
  </si>
  <si>
    <t xml:space="preserve">Freizeit</t>
  </si>
  <si>
    <t xml:space="preserve">Fingerboard park and other on-site activities</t>
  </si>
  <si>
    <t xml:space="preserve">Services</t>
  </si>
  <si>
    <t xml:space="preserve">Laundry, printing, iron, adapters</t>
  </si>
  <si>
    <t xml:space="preserve">Bikes</t>
  </si>
  <si>
    <t xml:space="preserve">Fahrrad</t>
  </si>
  <si>
    <t xml:space="preserve">Storage and rental</t>
  </si>
  <si>
    <t xml:space="preserve">Pets</t>
  </si>
  <si>
    <t xml:space="preserve">Haustiere</t>
  </si>
  <si>
    <t xml:space="preserve">Dogs and other animals</t>
  </si>
  <si>
    <t xml:space="preserve">Payment</t>
  </si>
  <si>
    <t xml:space="preserve">Zahlung</t>
  </si>
  <si>
    <t xml:space="preserve">Cards, cashless, invoices</t>
  </si>
  <si>
    <t xml:space="preserve">Loyalty programme</t>
  </si>
  <si>
    <t xml:space="preserve">Bonusprogramm</t>
  </si>
  <si>
    <t xml:space="preserve">Radisson Rewards</t>
  </si>
  <si>
    <t xml:space="preserve">Sustainability</t>
  </si>
  <si>
    <t xml:space="preserve">Nachhaltigkeit</t>
  </si>
  <si>
    <t xml:space="preserve">Green Hero, contact</t>
  </si>
  <si>
    <t xml:space="preserve">Meetings</t>
  </si>
  <si>
    <t xml:space="preserve">Tagungen</t>
  </si>
  <si>
    <t xml:space="preserve">Booking meeting rooms</t>
  </si>
  <si>
    <t xml:space="preserve">Contact</t>
  </si>
  <si>
    <t xml:space="preserve">Kontakt</t>
  </si>
  <si>
    <t xml:space="preserve">Phone, email, address</t>
  </si>
  <si>
    <t xml:space="preserve">Lost property</t>
  </si>
  <si>
    <t xml:space="preserve">Fundsachen</t>
  </si>
  <si>
    <t xml:space="preserve">Lost and found</t>
  </si>
  <si>
    <t xml:space="preserve">cancellation</t>
  </si>
  <si>
    <t xml:space="preserve">Cancellation</t>
  </si>
  <si>
    <t xml:space="preserve">Stornierung</t>
  </si>
  <si>
    <t xml:space="preserve">No FAQs yet – see Gaps</t>
  </si>
  <si>
    <t xml:space="preserve">Token</t>
  </si>
  <si>
    <t xml:space="preserve">Value (EN)</t>
  </si>
  <si>
    <t xml:space="preserve">Value (DE)</t>
  </si>
  <si>
    <t xml:space="preserve">Source of truth (proposed)</t>
  </si>
  <si>
    <t xml:space="preserve">Note</t>
  </si>
  <si>
    <t xml:space="preserve">Used in # EN answers</t>
  </si>
  <si>
    <t xml:space="preserve">{{checkinTime}}</t>
  </si>
  <si>
    <t xml:space="preserve">15:00</t>
  </si>
  <si>
    <t xml:space="preserve">hotel global → checkinTime</t>
  </si>
  <si>
    <t xml:space="preserve">From brief stub only; chatbot never says it.</t>
  </si>
  <si>
    <t xml:space="preserve">{{checkoutTime}}</t>
  </si>
  <si>
    <t xml:space="preserve">12:00</t>
  </si>
  <si>
    <t xml:space="preserve">hotel global → checkoutTime</t>
  </si>
  <si>
    <t xml:space="preserve">Matches chatbot and brief stub.</t>
  </si>
  <si>
    <t xml:space="preserve">{{lateCheckoutTime}}</t>
  </si>
  <si>
    <t xml:space="preserve">hotel global → lateCheckout.until</t>
  </si>
  <si>
    <t xml:space="preserve">{{lateCheckoutFee}}</t>
  </si>
  <si>
    <t xml:space="preserve">€30</t>
  </si>
  <si>
    <t xml:space="preserve">30 €</t>
  </si>
  <si>
    <t xml:space="preserve">hotel global → lateCheckout.fee</t>
  </si>
  <si>
    <t xml:space="preserve">{{breakfastWeekday}}</t>
  </si>
  <si>
    <t xml:space="preserve">6:30–10:00</t>
  </si>
  <si>
    <t xml:space="preserve">amenities / dining → breakfast.weekday</t>
  </si>
  <si>
    <t xml:space="preserve">{{breakfastWeekend}}</t>
  </si>
  <si>
    <t xml:space="preserve">6:30–11:00</t>
  </si>
  <si>
    <t xml:space="preserve">amenities / dining → breakfast.weekend</t>
  </si>
  <si>
    <t xml:space="preserve">Weekends and public holidays.</t>
  </si>
  <si>
    <t xml:space="preserve">{{breakfastPrice}}</t>
  </si>
  <si>
    <t xml:space="preserve">€23.00</t>
  </si>
  <si>
    <t xml:space="preserve">23,00 €</t>
  </si>
  <si>
    <t xml:space="preserve">amenities / dining → breakfast.price</t>
  </si>
  <si>
    <t xml:space="preserve">{{breakfastPriceChild}}</t>
  </si>
  <si>
    <t xml:space="preserve">€11.50</t>
  </si>
  <si>
    <t xml:space="preserve">11,50 €</t>
  </si>
  <si>
    <t xml:space="preserve">amenities / dining → breakfast.priceChild</t>
  </si>
  <si>
    <t xml:space="preserve">{{breakfastChildMinAge}}</t>
  </si>
  <si>
    <t xml:space="preserve">amenities / dining → breakfast.childMinAge</t>
  </si>
  <si>
    <t xml:space="preserve">Under-6 policy unknown.</t>
  </si>
  <si>
    <t xml:space="preserve">{{parkingSpaces}}</t>
  </si>
  <si>
    <t xml:space="preserve">208</t>
  </si>
  <si>
    <t xml:space="preserve">amenities → parking.spaces</t>
  </si>
  <si>
    <t xml:space="preserve">Chatbot also said 'over 200'.</t>
  </si>
  <si>
    <t xml:space="preserve">{{parkingHourly}}</t>
  </si>
  <si>
    <t xml:space="preserve">€4</t>
  </si>
  <si>
    <t xml:space="preserve">4 €</t>
  </si>
  <si>
    <t xml:space="preserve">amenities → parking.hourly</t>
  </si>
  <si>
    <t xml:space="preserve">{{parkingDaily}}</t>
  </si>
  <si>
    <t xml:space="preserve">€25</t>
  </si>
  <si>
    <t xml:space="preserve">25 €</t>
  </si>
  <si>
    <t xml:space="preserve">amenities → parking.dailyMax</t>
  </si>
  <si>
    <t xml:space="preserve">{{parkingMaxHeight}}</t>
  </si>
  <si>
    <t xml:space="preserve">1.80 m</t>
  </si>
  <si>
    <t xml:space="preserve">1,80 m</t>
  </si>
  <si>
    <t xml:space="preserve">amenities → parking.maxHeight</t>
  </si>
  <si>
    <t xml:space="preserve">{{petFee}}</t>
  </si>
  <si>
    <t xml:space="preserve">hotel global → policies.petFee</t>
  </si>
  <si>
    <t xml:space="preserve">Per night.</t>
  </si>
  <si>
    <t xml:space="preserve">{{wifiSsid}}</t>
  </si>
  <si>
    <t xml:space="preserve">HBB-Guestconnect</t>
  </si>
  <si>
    <t xml:space="preserve">hotel global → wifi.ssid</t>
  </si>
  <si>
    <t xml:space="preserve">Do not publish until confirmed (D3). Earlier docs mention a different SSID/password.</t>
  </si>
  <si>
    <t xml:space="preserve">{{saunaHours}}</t>
  </si>
  <si>
    <t xml:space="preserve">18:00–23:00</t>
  </si>
  <si>
    <t xml:space="preserve">amenities → sauna.hours</t>
  </si>
  <si>
    <t xml:space="preserve">Conflicts with a second published schedule (checklist 3.13).</t>
  </si>
  <si>
    <t xml:space="preserve">{{saunaNotice}}</t>
  </si>
  <si>
    <t xml:space="preserve">45 minutes</t>
  </si>
  <si>
    <t xml:space="preserve">45 Minuten</t>
  </si>
  <si>
    <t xml:space="preserve">amenities → sauna.noticeMinutes</t>
  </si>
  <si>
    <t xml:space="preserve">{{phoneMain}}</t>
  </si>
  <si>
    <t xml:space="preserve">+49 30 26050</t>
  </si>
  <si>
    <t xml:space="preserve">hotel global → telephone</t>
  </si>
  <si>
    <t xml:space="preserve">Variants seen: +49 30 26050 / +493026050 / +49 30 2600 50 (brief stub). Pick one.</t>
  </si>
  <si>
    <t xml:space="preserve">{{phoneReception}}</t>
  </si>
  <si>
    <t xml:space="preserve">+49 30 2605 3103</t>
  </si>
  <si>
    <t xml:space="preserve">hotel global → receptionPhone</t>
  </si>
  <si>
    <t xml:space="preserve">Appears in one chatbot answer only.</t>
  </si>
  <si>
    <t xml:space="preserve">{{emailInfo}}</t>
  </si>
  <si>
    <t xml:space="preserve">info@hotel-berlin.de</t>
  </si>
  <si>
    <t xml:space="preserve">hotel global → email</t>
  </si>
  <si>
    <t xml:space="preserve">{{emailReservations}}</t>
  </si>
  <si>
    <t xml:space="preserve">reservations@hotel-berlin.de</t>
  </si>
  <si>
    <t xml:space="preserve">hotel global → emails.reservations</t>
  </si>
  <si>
    <t xml:space="preserve">Confirm mailbox exists/monitored.</t>
  </si>
  <si>
    <t xml:space="preserve">{{emailConference}}</t>
  </si>
  <si>
    <t xml:space="preserve">conference@hotel-berlin.de</t>
  </si>
  <si>
    <t xml:space="preserve">meetings global → contactEmail</t>
  </si>
  <si>
    <t xml:space="preserve">Same field the Meetings brief already uses.</t>
  </si>
  <si>
    <t xml:space="preserve">{{emailSustainability}}</t>
  </si>
  <si>
    <t xml:space="preserve">sustainability@hotel-berlin.de</t>
  </si>
  <si>
    <t xml:space="preserve">hotel global → emails.sustainability</t>
  </si>
  <si>
    <t xml:space="preserve">{{emailCareers}}</t>
  </si>
  <si>
    <t xml:space="preserve">karriere@hotel-berlin.de</t>
  </si>
  <si>
    <t xml:space="preserve">hotel global → emails.careers</t>
  </si>
  <si>
    <t xml:space="preserve">Used on careers/contact routing, not in an FAQ.</t>
  </si>
  <si>
    <t xml:space="preserve">{{hotelAddress}}</t>
  </si>
  <si>
    <t xml:space="preserve">Lützowplatz 17, 10785 Berlin</t>
  </si>
  <si>
    <t xml:space="preserve">hotel global → address</t>
  </si>
  <si>
    <t xml:space="preserve">{{lostPropertyUrl}}</t>
  </si>
  <si>
    <t xml:space="preserve">https://lost.faundit.com/hotel-berlin-berlin</t>
  </si>
  <si>
    <t xml:space="preserve">hotel global → lostPropertyUrl</t>
  </si>
  <si>
    <t xml:space="preserve">Third-party form – confirm still in use.</t>
  </si>
  <si>
    <t xml:space="preserve">{{roomLargestSize}}</t>
  </si>
  <si>
    <t xml:space="preserve">95 m²</t>
  </si>
  <si>
    <t xml:space="preserve">rooms → studio-45.floorSizeM2</t>
  </si>
  <si>
    <t xml:space="preserve">Should read from the rooms collection.</t>
  </si>
  <si>
    <t xml:space="preserve">{{roomFamilySize}}</t>
  </si>
  <si>
    <t xml:space="preserve">45 m²</t>
  </si>
  <si>
    <t xml:space="preserve">rooms → premium-family.floorSizeM2</t>
  </si>
  <si>
    <t xml:space="preserve">Chatbot said 'at least 45 m²'.</t>
  </si>
  <si>
    <t xml:space="preserve">{{roomPremiumSize}}</t>
  </si>
  <si>
    <t xml:space="preserve">36 m²</t>
  </si>
  <si>
    <t xml:space="preserve">rooms → premium.floorSizeM2</t>
  </si>
  <si>
    <t xml:space="preserve">Route ID</t>
  </si>
  <si>
    <t xml:space="preserve">Path</t>
  </si>
  <si>
    <t xml:space="preserve">Topic 1</t>
  </si>
  <si>
    <t xml:space="preserve">Topic 3</t>
  </si>
  <si>
    <t xml:space="preserve">Topic 4</t>
  </si>
  <si>
    <t xml:space="preserve">Cap</t>
  </si>
  <si>
    <t xml:space="preserve">Matched</t>
  </si>
  <si>
    <t xml:space="preserve">Pinned</t>
  </si>
  <si>
    <t xml:space="preserve">Shown</t>
  </si>
  <si>
    <t xml:space="preserve">Trimmed</t>
  </si>
  <si>
    <t xml:space="preserve">Notes</t>
  </si>
  <si>
    <t xml:space="preserve">home</t>
  </si>
  <si>
    <t xml:space="preserve">/</t>
  </si>
  <si>
    <t xml:space="preserve">Homepage FAQ strip. Priority-1 items win when over cap.</t>
  </si>
  <si>
    <t xml:space="preserve">/rooms</t>
  </si>
  <si>
    <t xml:space="preserve">room-detail</t>
  </si>
  <si>
    <t xml:space="preserve">/rooms/[slug]</t>
  </si>
  <si>
    <t xml:space="preserve">Entity pins (e.g. balcony FAQ only on rooms that have a balcony) are done with pinnedEntities, not shown here.</t>
  </si>
  <si>
    <t xml:space="preserve">/meetings</t>
  </si>
  <si>
    <t xml:space="preserve">Plus pinned parking + getting-here for event organisers.</t>
  </si>
  <si>
    <t xml:space="preserve">amenities</t>
  </si>
  <si>
    <t xml:space="preserve">/amenities (TBC)</t>
  </si>
  <si>
    <t xml:space="preserve">Route name TBC against the Amenities brief.</t>
  </si>
  <si>
    <t xml:space="preserve">/sustainability</t>
  </si>
  <si>
    <t xml:space="preserve">offers</t>
  </si>
  <si>
    <t xml:space="preserve">/offers</t>
  </si>
  <si>
    <t xml:space="preserve">/contact</t>
  </si>
  <si>
    <t xml:space="preserve">faq</t>
  </si>
  <si>
    <t xml:space="preserve">/faq (new)</t>
  </si>
  <si>
    <t xml:space="preserve">ALL</t>
  </si>
  <si>
    <t xml:space="preserve">Does not exist yet in the briefs – prospect-facing full list.</t>
  </si>
  <si>
    <t xml:space="preserve">/here</t>
  </si>
  <si>
    <t xml:space="preserve">Guest hub – compact.</t>
  </si>
  <si>
    <t xml:space="preserve">here-dining</t>
  </si>
  <si>
    <t xml:space="preserve">/here/dining</t>
  </si>
  <si>
    <t xml:space="preserve">here-getting-around</t>
  </si>
  <si>
    <t xml:space="preserve">/here/getting-around</t>
  </si>
  <si>
    <t xml:space="preserve">here-faq</t>
  </si>
  <si>
    <t xml:space="preserve">/here/faq</t>
  </si>
  <si>
    <t xml:space="preserve">Existing guest FAQ page.</t>
  </si>
  <si>
    <t xml:space="preserve">policy-checkin</t>
  </si>
  <si>
    <t xml:space="preserve">/policies/check-in</t>
  </si>
  <si>
    <t xml:space="preserve">policy-cancellation</t>
  </si>
  <si>
    <t xml:space="preserve">/policies/cancellation</t>
  </si>
  <si>
    <t xml:space="preserve">Empty until G01 is answered.</t>
  </si>
  <si>
    <t xml:space="preserve">policy-pets</t>
  </si>
  <si>
    <t xml:space="preserve">/policies/pets</t>
  </si>
  <si>
    <t xml:space="preserve">/policies/fees</t>
  </si>
  <si>
    <t xml:space="preserve">Pins only: late check-out, parking, breakfast price, dog fee.</t>
  </si>
  <si>
    <t xml:space="preserve">policy-payment</t>
  </si>
  <si>
    <t xml:space="preserve">/policies/payment</t>
  </si>
  <si>
    <t xml:space="preserve">FAQ</t>
  </si>
  <si>
    <t xml:space="preserve"># routes</t>
  </si>
  <si>
    <t xml:space="preserve">Missing FAQ</t>
  </si>
  <si>
    <t xml:space="preserve">Why it matters</t>
  </si>
  <si>
    <t xml:space="preserve">Where the answer could come from</t>
  </si>
  <si>
    <t xml:space="preserve">G01</t>
  </si>
  <si>
    <t xml:space="preserve">Cancellation policy</t>
  </si>
  <si>
    <t xml:space="preserve">Required by the AEO brief (FAQPage must include cancellation). Not in the chatbot export.</t>
  </si>
  <si>
    <t xml:space="preserve">hotel-berlin.de/faqs + Radisson rate rules</t>
  </si>
  <si>
    <t xml:space="preserve">To write</t>
  </si>
  <si>
    <t xml:space="preserve">G02</t>
  </si>
  <si>
    <t xml:space="preserve">Accessibility: step-free access, accessible rooms, assistance</t>
  </si>
  <si>
    <t xml:space="preserve">Required by the AEO brief; ties to the BFSG accessibility statement stub.</t>
  </si>
  <si>
    <t xml:space="preserve">Hotel ops</t>
  </si>
  <si>
    <t xml:space="preserve">G03</t>
  </si>
  <si>
    <t xml:space="preserve">Children: cots, extra beds, child rates, family rooms</t>
  </si>
  <si>
    <t xml:space="preserve">Common prospect question; nothing in the sheet.</t>
  </si>
  <si>
    <t xml:space="preserve">Hotel ops / rooms collection</t>
  </si>
  <si>
    <t xml:space="preserve">G04</t>
  </si>
  <si>
    <t xml:space="preserve">Breakfast for children under 6</t>
  </si>
  <si>
    <t xml:space="preserve">F10 only covers ages 6+.</t>
  </si>
  <si>
    <t xml:space="preserve">G05</t>
  </si>
  <si>
    <t xml:space="preserve">Air conditioning / heating in rooms</t>
  </si>
  <si>
    <t xml:space="preserve">Summer question for Berlin.</t>
  </si>
  <si>
    <t xml:space="preserve">G06</t>
  </si>
  <si>
    <t xml:space="preserve">Smoking policy (rooms, balconies)</t>
  </si>
  <si>
    <t xml:space="preserve">F15 mentions no smoking on balconies only.</t>
  </si>
  <si>
    <t xml:space="preserve">G07</t>
  </si>
  <si>
    <t xml:space="preserve">Nearest U-Bahn / public transport</t>
  </si>
  <si>
    <t xml:space="preserve">Extension brief lists U1 Kurfürstenstraße ~700 m and U4 Nollendorfplatz ~900 m – verify before using.</t>
  </si>
  <si>
    <t xml:space="preserve">Extension brief; BVG</t>
  </si>
  <si>
    <t xml:space="preserve">G08</t>
  </si>
  <si>
    <t xml:space="preserve">Getting here from Hauptbahnhof / by train</t>
  </si>
  <si>
    <t xml:space="preserve">Only the airport route is covered.</t>
  </si>
  <si>
    <t xml:space="preserve">BVG/VBB</t>
  </si>
  <si>
    <t xml:space="preserve">G09</t>
  </si>
  <si>
    <t xml:space="preserve">Luggage storage after check-out</t>
  </si>
  <si>
    <t xml:space="preserve">F03 covers before check-in only.</t>
  </si>
  <si>
    <t xml:space="preserve">G10</t>
  </si>
  <si>
    <t xml:space="preserve">Early check-in</t>
  </si>
  <si>
    <t xml:space="preserve">Natural follow-up to F01.</t>
  </si>
  <si>
    <t xml:space="preserve">G11</t>
  </si>
  <si>
    <t xml:space="preserve">Laundry turnaround time and prices</t>
  </si>
  <si>
    <t xml:space="preserve">F24 has neither.</t>
  </si>
  <si>
    <t xml:space="preserve">G12</t>
  </si>
  <si>
    <t xml:space="preserve">Is breakfast included in my rate? Dietary options (vegan, gluten-free)</t>
  </si>
  <si>
    <t xml:space="preserve">Not covered.</t>
  </si>
  <si>
    <t xml:space="preserve">Hotel ops / Lütze</t>
  </si>
  <si>
    <t xml:space="preserve">G13</t>
  </si>
  <si>
    <t xml:space="preserve">Electric-vehicle charging</t>
  </si>
  <si>
    <t xml:space="preserve">Parking answer is silent.</t>
  </si>
  <si>
    <t xml:space="preserve">G14</t>
  </si>
  <si>
    <t xml:space="preserve">In-room safe</t>
  </si>
  <si>
    <t xml:space="preserve">G15</t>
  </si>
  <si>
    <t xml:space="preserve">Printing: cost and who can use it</t>
  </si>
  <si>
    <t xml:space="preserve">F25 has no cost.</t>
  </si>
  <si>
    <t xml:space="preserve">G16</t>
  </si>
  <si>
    <t xml:space="preserve">Pets other than dogs; size limits</t>
  </si>
  <si>
    <t xml:space="preserve">F13 says 'pets such as dogs'.</t>
  </si>
  <si>
    <t xml:space="preserve">G17</t>
  </si>
  <si>
    <t xml:space="preserve">Lütze restaurant &amp; bar opening hours</t>
  </si>
  <si>
    <t xml:space="preserve">Should be computed from venue-time, not written as static text.</t>
  </si>
  <si>
    <t xml:space="preserve">venues + venue-time</t>
  </si>
  <si>
    <t xml:space="preserve">Need</t>
  </si>
  <si>
    <t xml:space="preserve">Source row</t>
  </si>
  <si>
    <t xml:space="preserve">Home on the site</t>
  </si>
  <si>
    <t xml:space="preserve">General enquiries</t>
  </si>
  <si>
    <t xml:space="preserve">{{phoneMain}} · {{emailInfo}}</t>
  </si>
  <si>
    <t xml:space="preserve">19</t>
  </si>
  <si>
    <t xml:space="preserve">/contact + FAQ F36</t>
  </si>
  <si>
    <t xml:space="preserve">Phone number conflict – see Tokens.</t>
  </si>
  <si>
    <t xml:space="preserve">Room / booking enquiry</t>
  </si>
  <si>
    <t xml:space="preserve">26</t>
  </si>
  <si>
    <t xml:space="preserve">Meeting room booking</t>
  </si>
  <si>
    <t xml:space="preserve">/meetings + FAQ F35</t>
  </si>
  <si>
    <t xml:space="preserve">Form at /meetings/request is the primary route.</t>
  </si>
  <si>
    <t xml:space="preserve">Print an attachment</t>
  </si>
  <si>
    <t xml:space="preserve">FAQ F25 (guests)</t>
  </si>
  <si>
    <t xml:space="preserve">Amend prepayment invoice</t>
  </si>
  <si>
    <t xml:space="preserve">FAQ F37</t>
  </si>
  <si>
    <t xml:space="preserve">Existing bookings only.</t>
  </si>
  <si>
    <t xml:space="preserve">Sustainability questions</t>
  </si>
  <si>
    <t xml:space="preserve">/sustainability + FAQ F38</t>
  </si>
  <si>
    <t xml:space="preserve">Internship / jobs</t>
  </si>
  <si>
    <t xml:space="preserve">13</t>
  </si>
  <si>
    <t xml:space="preserve">Careers or /contact – NOT an FAQ</t>
  </si>
  <si>
    <t xml:space="preserve">The chatbot gave a third phone-number variant here. Careers page doesn't exist in the briefs yet.</t>
  </si>
  <si>
    <t xml:space="preserve">FAQ F34</t>
  </si>
  <si>
    <t xml:space="preserve">Original row</t>
  </si>
  <si>
    <t xml:space="preserve">Original question</t>
  </si>
  <si>
    <t xml:space="preserve">Original chatbot answer</t>
  </si>
  <si>
    <t xml:space="preserve">Disposition</t>
  </si>
  <si>
    <t xml:space="preserve">→ FAQ</t>
  </si>
  <si>
    <t xml:space="preserve">Issue noted</t>
  </si>
  <si>
    <t xml:space="preserve">I need an ironing board</t>
  </si>
  <si>
    <t xml:space="preserve">No problem! If you need an iron, please contact reception (+49 30 2605 3103). The hotel staff will be happy to bring an iron straight to your room.</t>
  </si>
  <si>
    <t xml:space="preserve">Rewritten</t>
  </si>
  <si>
    <t xml:space="preserve">Answered iron only; guest asked for an ironing board.</t>
  </si>
  <si>
    <t xml:space="preserve">Breakfast is served from 6.30 am to 10.00 am, Monday to Friday. At weekends and on public holidays, breakfast is served from 6.30 am to 11.00 am.</t>
  </si>
  <si>
    <t xml:space="preserve">Room service?</t>
  </si>
  <si>
    <t xml:space="preserve">Room service is not directly available, but if you’d like to enjoy food in your room, the hotel team can recommend great delivery services in Berlin. Just ask at the reception for tips, or you can pick up your breakfast or dinner from the restaurant and enjoy it in your room.</t>
  </si>
  <si>
    <t xml:space="preserve">where is located the room where i can take my breakfast</t>
  </si>
  <si>
    <t xml:space="preserve">The breakfast restaurant at Hotel Berlin, Berlin is located at the end of the lobby hall. Just follow the aroma of fresh bread rolls—it's easy to find!</t>
  </si>
  <si>
    <t xml:space="preserve">Chatbot flourish removed.</t>
  </si>
  <si>
    <t xml:space="preserve">When is check out?</t>
  </si>
  <si>
    <t xml:space="preserve">Check-out is available until 12:00 on the day of departure. If you would like to stay in your room for longer, please speak to our reception staff in advance. A late check-out until 15:00 is available, subject to availability, for €30.</t>
  </si>
  <si>
    <t xml:space="preserve">Fee and time moved to tokens.</t>
  </si>
  <si>
    <t xml:space="preserve">how does laundry service work?</t>
  </si>
  <si>
    <t xml:space="preserve">Your laundry will be picked up from your room and cleaned externally.</t>
  </si>
  <si>
    <t xml:space="preserve">Merged</t>
  </si>
  <si>
    <t xml:space="preserve">Thin answer; merged with row 9.</t>
  </si>
  <si>
    <t xml:space="preserve">is coin laundry available?</t>
  </si>
  <si>
    <t xml:space="preserve">There is no coin laundry or self-service laundry facilities at Hotel Berlin Berlin. However, the hotel does offer an external laundry service—if you need your clothes cleaned, you can let the staff know, and they will arrange for your laundry to be picked up and cleaned externally.</t>
  </si>
  <si>
    <t xml:space="preserve">we are stuck in traffic. untill what time can we check in?</t>
  </si>
  <si>
    <t xml:space="preserve">You can check in at Hotel Berlin Berlin at any time, as the reception is staffed 24 hours a day. If you expect to arrive after 18:00, it is helpful to let the hotel know in advance, but it is not mandatory.</t>
  </si>
  <si>
    <t xml:space="preserve">Standard check-in time was missing.</t>
  </si>
  <si>
    <t xml:space="preserve">could i reserve a car parking for my stay?</t>
  </si>
  <si>
    <t xml:space="preserve">It is not possible to reserve a parking space in advance at Hotel Berlin Berlin. However, there are over 200 parking spaces available (including outdoor and underground options), so you should usually find a spot when you arrive.</t>
  </si>
  <si>
    <t xml:space="preserve">Said 'over 200'; row 12 says 208.</t>
  </si>
  <si>
    <t xml:space="preserve">how do you calculate the cost of parking in hotel berlin</t>
  </si>
  <si>
    <t xml:space="preserve">arking at Hotel Berlin, Berlin costs €4 per hour or €25 per day. No reservation is necessary, and there are 208 parking spaces available, including a parking garage with a maximum vehicle height of 1.80 meters. A parking day is calculated per 24-hour period. If you park for less than 24 hours, you pay €4 per hour. Once you reach the daily maximum of €25, you will not be charged more for that 24-hour period.</t>
  </si>
  <si>
    <t xml:space="preserve">Answer starts 'arking' – first letter lost.</t>
  </si>
  <si>
    <t xml:space="preserve">i’m looking for a one-month internship in your hotel</t>
  </si>
  <si>
    <t xml:space="preserve">hank you very much for your interest in an internship at Hotel Berlin, Berlin! We are always happy to receive applications from motivated and passionate individuals like you.
To apply for an internship, please send your application (including your CV and cover letter) directly to our HR team at karriere@hotel-berlin.de. You can also find more information about career opportunities and internships on our website.
If you have any further questions, feel free to contact us by phone at +493026050 or by email.
We wish you the best of luck with your application!</t>
  </si>
  <si>
    <t xml:space="preserve">Routed</t>
  </si>
  <si>
    <t xml:space="preserve">–</t>
  </si>
  <si>
    <t xml:space="preserve">Internship enquiry: not a FAQ. Goes to careers/contact routing. Answer starts 'hank you' – first letter lost.</t>
  </si>
  <si>
    <t xml:space="preserve">How much does it cost to book breakfast at a later date?</t>
  </si>
  <si>
    <t xml:space="preserve">If you didn’t book breakfast at the time of booking your room, you can book it later for €23.00 per person. Children aged 6 and over pay €11.50 for breakfast.</t>
  </si>
  <si>
    <t xml:space="preserve">How can I sign in wifi?</t>
  </si>
  <si>
    <t xml:space="preserve">At Hotel Berlin, Berlin, you can enjoy free high-speed WiFi throughout the entire hotel. Simply connect to the network named HBB-Guestconnect. The login page should open automatically—just accept the terms and conditions, and you’re ready to surf the internet.</t>
  </si>
  <si>
    <t xml:space="preserve">HOLD – WiFi details unconfirmed.</t>
  </si>
  <si>
    <t xml:space="preserve">How can I check in online?</t>
  </si>
  <si>
    <t xml:space="preserve">You can check in online with ease, either from home or whilst on the move. A few days before your arrival, you’ll receive an email inviting you to check in online. Once you’ve checked in online, simply collect your room key from the self-check-in desk in the lobby. If you have any questions or issues, you can contact the team via chat or give them a call at any time.</t>
  </si>
  <si>
    <t xml:space="preserve">I'm travelling with my dog.</t>
  </si>
  <si>
    <t xml:space="preserve">Your dog is very welcome at the Hotel Berlin Berlin! There is a charge of €30 per night for pets such as dogs. Please let the hotel know in advance that you’ll be bringing your dog so that everything can be prepared. You’re also welcome to bring your dog with you to breakfast. If you have any further questions, you can contact the hotel by telephone on +49 30 26050 or by email at info@hotel-berlin.de.</t>
  </si>
  <si>
    <t xml:space="preserve">If I’d like a quiet room, which one is available?</t>
  </si>
  <si>
    <t xml:space="preserve">The hotel is situated in the centre of the capital. Each room category offers rooms facing the street as well as those facing the courtyard. If you are particularly sensitive to noise, please mention this when you book. Our reception will then try to allocate you a quieter room.</t>
  </si>
  <si>
    <t xml:space="preserve">How can I contact you?</t>
  </si>
  <si>
    <t xml:space="preserve">You can contact Hotel Berlin Berlin in the following ways: - Phone: +493026050 - Email: info@hotel-berlin.de - Address: Lützowplatz 17, 10785 Berlin, Germany</t>
  </si>
  <si>
    <t xml:space="preserve">Phone number differs from other rows.</t>
  </si>
  <si>
    <t xml:space="preserve">What about sauna?</t>
  </si>
  <si>
    <t xml:space="preserve">Our hotel offers a complimentary sauna area with both a Finnish sauna and a sanarium. The sauna is open daily from 18:00 to 23:00, except during the summer months (June to August), when it is available on request. Please let the reception know at least 45 minutes before your sauna visit so it can be prepared for you.</t>
  </si>
  <si>
    <t xml:space="preserve">HOLD – conflicting hours.</t>
  </si>
  <si>
    <t xml:space="preserve">Is this a clothing-free sauna?</t>
  </si>
  <si>
    <t xml:space="preserve">In Germany, it’s actually quite common to use the sauna without any textile clothing. People are usually just wearing a towel. In hotels, this isn’t strictly required. If you feel more comfortable wearing clothes, there’s no reason why you shouldn’t.</t>
  </si>
  <si>
    <t xml:space="preserve">Do you offer an airport transfer service?</t>
  </si>
  <si>
    <t xml:space="preserve">We do not offer our own shuttle service from the airport. However, you can easily reach us by public transport: From the airport ✈️, take the RE20 or FEX train 🚉 to “Südkreuz”, then continue on the No. 106 bus to “Lützowplatz”, which stops right outside our door. Alternatively, you can also take the M46 bus to “Schillstraße”.</t>
  </si>
  <si>
    <t xml:space="preserve">Emojis removed; verify route.</t>
  </si>
  <si>
    <t xml:space="preserve">Do you need your room card to use the lifts?</t>
  </si>
  <si>
    <t xml:space="preserve">Yes, you will need your key card to use the elevators.</t>
  </si>
  <si>
    <t xml:space="preserve">do you still have a fingerboard park?</t>
  </si>
  <si>
    <t xml:space="preserve">Yes, the fingerboard park is still available.</t>
  </si>
  <si>
    <t xml:space="preserve">HOLD – details outstanding.</t>
  </si>
  <si>
    <t xml:space="preserve">Can my luggage be stored safely at the hotel before I check in?</t>
  </si>
  <si>
    <t xml:space="preserve">Yes, you’re welcome to leave your luggage safely at the hotel before you check in. Just speak to a member of staff in the lobby.</t>
  </si>
  <si>
    <t xml:space="preserve">I’d like to enquire about a room – is there an email address?</t>
  </si>
  <si>
    <t xml:space="preserve">Of course! You can send your enquiry by email to reservations@hotel-berlin.de. The team at Hotel Berlin Berlin will be happy to help you.</t>
  </si>
  <si>
    <t xml:space="preserve">Reservations email folded into the contact answer.</t>
  </si>
  <si>
    <t xml:space="preserve">do we leave our keys in the room at checkout?</t>
  </si>
  <si>
    <t xml:space="preserve">At check-out, you do not need to leave your keys in the room. You can use the convenient check-out terminals in the lobby or check out online and drop off the keys in a box. If you have any questions or need assistance, please speak to the staff at the reception.</t>
  </si>
  <si>
    <t xml:space="preserve">do you have loyalty programs</t>
  </si>
  <si>
    <t xml:space="preserve">Yes, Hotel Berlin Berlin offers a loyalty program called "Radisson Rewards." As a member, you can enjoy benefits such as earning points for free nights, saving up to 15% with exclusive member rates, discounts on food and drinks, priority check-in/check-out, and easier access to premium status. Membership is open to both new and returning guests.</t>
  </si>
  <si>
    <t xml:space="preserve">Third-party claims trimmed.</t>
  </si>
  <si>
    <t xml:space="preserve">lost and found</t>
  </si>
  <si>
    <t xml:space="preserve">f you have lost something at Hotel Berlin Berlin, our Guest Care Center keeps a record of all found items. You can register your lost item request using our online form, and we will get back to you with further information.
[Register lost item 💎](https://lost.faundit.com/hotel-berlin-berlin)</t>
  </si>
  <si>
    <t xml:space="preserve">Answer starts 'f you' – first letter lost.</t>
  </si>
  <si>
    <t xml:space="preserve">Who is allowed to use the gym?</t>
  </si>
  <si>
    <t xml:space="preserve">Our fitness area is available free of charge to all hotel guests. You can use the gym round the clock (24/7). There is no age restriction at the Quellen, but as a general rule, use is intended for hotel guests only.</t>
  </si>
  <si>
    <t xml:space="preserve">'at the Quellen' artefact removed.</t>
  </si>
  <si>
    <t xml:space="preserve">Are there any Nespresso capsules in the room?</t>
  </si>
  <si>
    <t xml:space="preserve">A Nespresso machine is available for your use in our rooms. The capsules are from Rezemo.</t>
  </si>
  <si>
    <t xml:space="preserve">HOLD – 'Rezemo' unclear.</t>
  </si>
  <si>
    <t xml:space="preserve">How do I know which floor my room is on?</t>
  </si>
  <si>
    <t xml:space="preserve">Quite simple. If your room number has 3 digits (e.g. #315, your room is located in our premium wing on the 3rd floor. (use the elevators and the end of the lobby hall). If your room number has 4 digits (e.g. #1315) please use the elevators in the lobby hall, next to the kiosks. Your room is located on the 3rd floor.</t>
  </si>
  <si>
    <t xml:space="preserve">HOLD – floors inconsistent.</t>
  </si>
  <si>
    <t xml:space="preserve">Is the room cleaned every day?</t>
  </si>
  <si>
    <t xml:space="preserve">We will clean your room every 2nd day. But you can also be a Green Hero and skip cleaning.</t>
  </si>
  <si>
    <t xml:space="preserve">Do you have space for bicycles parking if we bring our own bikes?</t>
  </si>
  <si>
    <t xml:space="preserve">Yes, you are welcome to bring your own bicycle, and you can store it safely in a special garage at the hotel.</t>
  </si>
  <si>
    <t xml:space="preserve">Which rooms are the largest?</t>
  </si>
  <si>
    <t xml:space="preserve">The largest room at the Hotel Berlin, Berlin is Studio 45, measuring 95 m². It features its own sauna, a large bath and special amenities including a lounge, a DJ deck and vinyl records. Next come the Premium Family Rooms, which measure at least 45 m². The Premium Rooms are also very spacious, measuring 36 m².</t>
  </si>
  <si>
    <t xml:space="preserve">I would like to book a meeting room.</t>
  </si>
  <si>
    <t xml:space="preserve">Great choice! Please contact our Conference team (conference@hotel-berlin.de) for more details.</t>
  </si>
  <si>
    <t xml:space="preserve">Can I pay without credit card?</t>
  </si>
  <si>
    <t xml:space="preserve">Yes, of course. At Hotel Berlin, Berlin, you can pay without a credit card. We accept debit cards as well as contactless payment methods such as Apple Pay, Google Pay and Giropay. However, cash payments are not accepted as the hotel is entirely cashless.</t>
  </si>
  <si>
    <t xml:space="preserve">Are there any rooms with a balcony?</t>
  </si>
  <si>
    <t xml:space="preserve">Some of our premium rooms have a very small balcony. If a balcony is important to you, it’s best to mention this when you book – subject to availability, we’ll try to accommodate your request. Please note that there are no seats on the balcony and smoking is not permitted there.</t>
  </si>
  <si>
    <t xml:space="preserve">i have an email attachment i need to have printed. can i have the email address i can send it to you in?</t>
  </si>
  <si>
    <t xml:space="preserve">You can send your email with the attachment to info@hotel-berlin.de. The reception team will be able to print your document for you.</t>
  </si>
  <si>
    <t xml:space="preserve">Who is the point of contact for sustainability at your hotel?</t>
  </si>
  <si>
    <t xml:space="preserve">Please feel free to contact our Sustainability Manager with any enquiries. Email: sustainability@hotel-berlin.de</t>
  </si>
  <si>
    <t xml:space="preserve">We have received a prepayment invoice from you. It needs to be amended – which email address should I contact?</t>
  </si>
  <si>
    <t xml:space="preserve">If you wish to change your advance payment invoice, please contact us by email at info@hotel-berlin.de. Please include the invoice number, the new billing address and the email address to which you would like the amended invoice to be sent.</t>
  </si>
  <si>
    <t xml:space="preserve">I would lie to connect my Amazon Fire TV stick.</t>
  </si>
  <si>
    <t xml:space="preserve">Unfortunatelly this is not possible. The HDMI ports are locked for any other device. Please ask the reception for any option. Maybe rooms with integrated streaming platforms are available.</t>
  </si>
  <si>
    <t xml:space="preserve">Typos in the original question ('Unfortunatelly').</t>
  </si>
  <si>
    <t xml:space="preserve">I need an adapter for my power plug.</t>
  </si>
  <si>
    <t xml:space="preserve">Integrated in our lobby is a "Wundermart" shop. Here you can find anything you need.</t>
  </si>
  <si>
    <t xml:space="preserve">You can hire a bike right at the Hotel Berlin, Berlin. Simply scan the QR code at the hire station in the hotel, download the app, and you’re ready to set off.</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</si>
</sst>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3">
    <fill>
      <patternFill patternType="none"/>
    </fill>
    <fill>
      <patternFill patternType="gray125"/>
    </fill>
    <fill>
      <patternFill patternType="solid">
        <fgColor rgb="FF2F4F4F"/>
        <bgColor rgb="FF333399"/>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bottom" textRotation="9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F4F4F"/>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FF2CC"/>
          <bgColor rgb="FF000000"/>
        </patternFill>
      </fill>
    </dxf>
    <dxf>
      <fill>
        <patternFill>
          <bgColor rgb="FFD9EAD3"/>
        </patternFill>
      </fill>
    </dxf>
    <dxf>
      <fill>
        <patternFill>
          <bgColor rgb="FFFFF2CC"/>
        </patternFill>
      </fill>
    </dxf>
    <dxf>
      <fill>
        <patternFill>
          <bgColor rgb="FFF4CCCC"/>
        </patternFill>
      </fill>
    </dxf>
    <dxf>
      <fill>
        <patternFill>
          <bgColor rgb="FFBDD7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D0D0"/>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4F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7.3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2" t="s">
        <v>12</v>
      </c>
    </row>
    <row r="16" customFormat="false" ht="23.8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row>
    <row r="19" customFormat="false" ht="15" hidden="false" customHeight="false" outlineLevel="0" collapsed="false">
      <c r="A19" s="3" t="s">
        <v>15</v>
      </c>
    </row>
    <row r="20" customFormat="false" ht="15" hidden="false" customHeight="false" outlineLevel="0" collapsed="false">
      <c r="A20" s="4" t="s">
        <v>16</v>
      </c>
      <c r="B20" s="5" t="n">
        <f aca="false">COUNTA(FAQs!A2:A39)</f>
        <v>38</v>
      </c>
    </row>
    <row r="21" customFormat="false" ht="15" hidden="false" customHeight="false" outlineLevel="0" collapsed="false">
      <c r="A21" s="4" t="s">
        <v>17</v>
      </c>
      <c r="B21" s="5" t="n">
        <f aca="false">COUNTIF(FAQs!L2:L39,"Ready")</f>
        <v>16</v>
      </c>
    </row>
    <row r="22" customFormat="false" ht="15" hidden="false" customHeight="false" outlineLevel="0" collapsed="false">
      <c r="A22" s="4" t="s">
        <v>18</v>
      </c>
      <c r="B22" s="5" t="n">
        <f aca="false">COUNTIF(FAQs!L2:L39,"Needs confirm")</f>
        <v>16</v>
      </c>
    </row>
    <row r="23" customFormat="false" ht="15" hidden="false" customHeight="false" outlineLevel="0" collapsed="false">
      <c r="A23" s="4" t="s">
        <v>19</v>
      </c>
      <c r="B23" s="5" t="n">
        <f aca="false">COUNTIF(FAQs!L2:L39,"HOLD")</f>
        <v>6</v>
      </c>
    </row>
    <row r="24" customFormat="false" ht="15" hidden="false" customHeight="false" outlineLevel="0" collapsed="false">
      <c r="A24" s="4" t="s">
        <v>20</v>
      </c>
      <c r="B24" s="5" t="n">
        <f aca="false">COUNTA(Tokens!A2:A30)</f>
        <v>29</v>
      </c>
    </row>
    <row r="25" customFormat="false" ht="15" hidden="false" customHeight="false" outlineLevel="0" collapsed="false">
      <c r="A25" s="4" t="s">
        <v>21</v>
      </c>
      <c r="B25" s="5" t="n">
        <f aca="false">COUNTIF(Tokens!E2:E30,"Needs confirm")+COUNTIF(Tokens!E2:E30,"HOLD")</f>
        <v>14</v>
      </c>
    </row>
    <row r="26" customFormat="false" ht="15" hidden="false" customHeight="false" outlineLevel="0" collapsed="false">
      <c r="A26" s="4" t="s">
        <v>22</v>
      </c>
      <c r="B26" s="5" t="n">
        <f aca="false">COUNTA(Gaps!A2:A18)</f>
        <v>17</v>
      </c>
    </row>
    <row r="27" customFormat="false" ht="15" hidden="false" customHeight="false" outlineLevel="0" collapsed="false">
      <c r="A27" s="4" t="s">
        <v>23</v>
      </c>
      <c r="B27" s="5" t="n">
        <f aca="false">COUNTIF(Routes!L2:L19,"&gt;0")</f>
        <v>4</v>
      </c>
    </row>
    <row r="28" customFormat="false" ht="15" hidden="false" customHeight="false" outlineLevel="0" collapsed="false">
      <c r="A28" s="4" t="s">
        <v>24</v>
      </c>
      <c r="B28" s="5" t="n">
        <f aca="false">COUNTIF(Routes!I2:I19,0)</f>
        <v>1</v>
      </c>
    </row>
    <row r="29" customFormat="false" ht="15" hidden="false" customHeight="false" outlineLevel="0" collapsed="false">
      <c r="A29" s="4" t="s">
        <v>25</v>
      </c>
      <c r="B29" s="5" t="n">
        <f aca="false">COUNTIF(Placement!U2:U39,0)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4" min="3" style="0" width="16"/>
    <col collapsed="false" customWidth="true" hidden="false" outlineLevel="0" max="5" min="5" style="0" width="10"/>
    <col collapsed="false" customWidth="true" hidden="false" outlineLevel="0" max="6" min="6" style="0" width="9"/>
    <col collapsed="false" customWidth="true" hidden="false" outlineLevel="0" max="7" min="7" style="0" width="18"/>
    <col collapsed="false" customWidth="true" hidden="false" outlineLevel="0" max="8" min="8" style="0" width="36"/>
    <col collapsed="false" customWidth="true" hidden="false" outlineLevel="0" max="9" min="9" style="0" width="70"/>
    <col collapsed="false" customWidth="true" hidden="false" outlineLevel="0" max="10" min="10" style="0" width="36"/>
    <col collapsed="false" customWidth="true" hidden="false" outlineLevel="0" max="11" min="11" style="0" width="70"/>
    <col collapsed="false" customWidth="true" hidden="false" outlineLevel="0" max="12" min="12" style="0" width="14"/>
    <col collapsed="false" customWidth="true" hidden="false" outlineLevel="0" max="13" min="13" style="0" width="50"/>
  </cols>
  <sheetData>
    <row r="1" customFormat="false" ht="31.5" hidden="false" customHeight="true" outlineLevel="0" collapsed="false">
      <c r="A1" s="6" t="s">
        <v>26</v>
      </c>
      <c r="B1" s="6" t="s">
        <v>27</v>
      </c>
      <c r="C1" s="6" t="s">
        <v>28</v>
      </c>
      <c r="D1" s="6" t="s">
        <v>29</v>
      </c>
      <c r="E1" s="6" t="s">
        <v>30</v>
      </c>
      <c r="F1" s="6" t="s">
        <v>31</v>
      </c>
      <c r="G1" s="6" t="s">
        <v>32</v>
      </c>
      <c r="H1" s="6" t="s">
        <v>33</v>
      </c>
      <c r="I1" s="6" t="s">
        <v>34</v>
      </c>
      <c r="J1" s="6" t="s">
        <v>35</v>
      </c>
      <c r="K1" s="6" t="s">
        <v>36</v>
      </c>
      <c r="L1" s="6" t="s">
        <v>37</v>
      </c>
      <c r="M1" s="6" t="s">
        <v>38</v>
      </c>
    </row>
    <row r="2" customFormat="false" ht="46.25" hidden="false" customHeight="false" outlineLevel="0" collapsed="false">
      <c r="A2" s="7" t="s">
        <v>39</v>
      </c>
      <c r="B2" s="7" t="s">
        <v>40</v>
      </c>
      <c r="C2" s="8" t="s">
        <v>41</v>
      </c>
      <c r="D2" s="8"/>
      <c r="E2" s="8" t="s">
        <v>42</v>
      </c>
      <c r="F2" s="8" t="n">
        <v>1</v>
      </c>
      <c r="G2" s="8"/>
      <c r="H2" s="7" t="s">
        <v>43</v>
      </c>
      <c r="I2" s="7" t="s">
        <v>44</v>
      </c>
      <c r="J2" s="7" t="s">
        <v>45</v>
      </c>
      <c r="K2" s="7" t="s">
        <v>46</v>
      </c>
      <c r="L2" s="7" t="s">
        <v>18</v>
      </c>
      <c r="M2" s="7" t="s">
        <v>47</v>
      </c>
    </row>
    <row r="3" customFormat="false" ht="46.25" hidden="false" customHeight="false" outlineLevel="0" collapsed="false">
      <c r="A3" s="7" t="s">
        <v>48</v>
      </c>
      <c r="B3" s="7" t="s">
        <v>49</v>
      </c>
      <c r="C3" s="8" t="s">
        <v>41</v>
      </c>
      <c r="D3" s="8"/>
      <c r="E3" s="8" t="s">
        <v>42</v>
      </c>
      <c r="F3" s="8" t="n">
        <v>2</v>
      </c>
      <c r="G3" s="8"/>
      <c r="H3" s="7" t="s">
        <v>50</v>
      </c>
      <c r="I3" s="7" t="s">
        <v>51</v>
      </c>
      <c r="J3" s="7" t="s">
        <v>52</v>
      </c>
      <c r="K3" s="7" t="s">
        <v>53</v>
      </c>
      <c r="L3" s="7" t="s">
        <v>18</v>
      </c>
      <c r="M3" s="7" t="s">
        <v>54</v>
      </c>
    </row>
    <row r="4" customFormat="false" ht="23.85" hidden="false" customHeight="false" outlineLevel="0" collapsed="false">
      <c r="A4" s="7" t="s">
        <v>55</v>
      </c>
      <c r="B4" s="7" t="s">
        <v>56</v>
      </c>
      <c r="C4" s="8" t="s">
        <v>41</v>
      </c>
      <c r="D4" s="8"/>
      <c r="E4" s="8" t="s">
        <v>42</v>
      </c>
      <c r="F4" s="8" t="n">
        <v>2</v>
      </c>
      <c r="G4" s="8"/>
      <c r="H4" s="7" t="s">
        <v>57</v>
      </c>
      <c r="I4" s="7" t="s">
        <v>58</v>
      </c>
      <c r="J4" s="7" t="s">
        <v>59</v>
      </c>
      <c r="K4" s="7" t="s">
        <v>60</v>
      </c>
      <c r="L4" s="7" t="s">
        <v>17</v>
      </c>
      <c r="M4" s="7" t="s">
        <v>61</v>
      </c>
    </row>
    <row r="5" customFormat="false" ht="35.05" hidden="false" customHeight="false" outlineLevel="0" collapsed="false">
      <c r="A5" s="7" t="s">
        <v>62</v>
      </c>
      <c r="B5" s="7" t="s">
        <v>63</v>
      </c>
      <c r="C5" s="8" t="s">
        <v>41</v>
      </c>
      <c r="D5" s="8"/>
      <c r="E5" s="8" t="s">
        <v>42</v>
      </c>
      <c r="F5" s="8" t="n">
        <v>1</v>
      </c>
      <c r="G5" s="8" t="s">
        <v>64</v>
      </c>
      <c r="H5" s="7" t="s">
        <v>65</v>
      </c>
      <c r="I5" s="7" t="s">
        <v>66</v>
      </c>
      <c r="J5" s="7" t="s">
        <v>67</v>
      </c>
      <c r="K5" s="7" t="s">
        <v>68</v>
      </c>
      <c r="L5" s="7" t="s">
        <v>17</v>
      </c>
      <c r="M5" s="7" t="s">
        <v>69</v>
      </c>
    </row>
    <row r="6" customFormat="false" ht="35.05" hidden="false" customHeight="false" outlineLevel="0" collapsed="false">
      <c r="A6" s="7" t="s">
        <v>70</v>
      </c>
      <c r="B6" s="7" t="s">
        <v>71</v>
      </c>
      <c r="C6" s="8" t="s">
        <v>41</v>
      </c>
      <c r="D6" s="8"/>
      <c r="E6" s="8" t="s">
        <v>72</v>
      </c>
      <c r="F6" s="8" t="n">
        <v>3</v>
      </c>
      <c r="G6" s="8"/>
      <c r="H6" s="7" t="s">
        <v>73</v>
      </c>
      <c r="I6" s="7" t="s">
        <v>74</v>
      </c>
      <c r="J6" s="7" t="s">
        <v>75</v>
      </c>
      <c r="K6" s="7" t="s">
        <v>76</v>
      </c>
      <c r="L6" s="7" t="s">
        <v>17</v>
      </c>
      <c r="M6" s="7"/>
    </row>
    <row r="7" customFormat="false" ht="57.45" hidden="false" customHeight="false" outlineLevel="0" collapsed="false">
      <c r="A7" s="7" t="s">
        <v>77</v>
      </c>
      <c r="B7" s="7" t="s">
        <v>78</v>
      </c>
      <c r="C7" s="8" t="s">
        <v>79</v>
      </c>
      <c r="D7" s="8" t="s">
        <v>80</v>
      </c>
      <c r="E7" s="8" t="s">
        <v>42</v>
      </c>
      <c r="F7" s="8" t="n">
        <v>1</v>
      </c>
      <c r="G7" s="8" t="s">
        <v>81</v>
      </c>
      <c r="H7" s="7" t="s">
        <v>82</v>
      </c>
      <c r="I7" s="7" t="s">
        <v>83</v>
      </c>
      <c r="J7" s="7" t="s">
        <v>84</v>
      </c>
      <c r="K7" s="7" t="s">
        <v>85</v>
      </c>
      <c r="L7" s="7" t="s">
        <v>17</v>
      </c>
      <c r="M7" s="7" t="s">
        <v>86</v>
      </c>
    </row>
    <row r="8" customFormat="false" ht="46.25" hidden="false" customHeight="false" outlineLevel="0" collapsed="false">
      <c r="A8" s="7" t="s">
        <v>87</v>
      </c>
      <c r="B8" s="7" t="s">
        <v>88</v>
      </c>
      <c r="C8" s="8" t="s">
        <v>80</v>
      </c>
      <c r="D8" s="8"/>
      <c r="E8" s="8" t="s">
        <v>42</v>
      </c>
      <c r="F8" s="8" t="n">
        <v>1</v>
      </c>
      <c r="G8" s="8" t="s">
        <v>89</v>
      </c>
      <c r="H8" s="7" t="s">
        <v>90</v>
      </c>
      <c r="I8" s="7" t="s">
        <v>91</v>
      </c>
      <c r="J8" s="7" t="s">
        <v>92</v>
      </c>
      <c r="K8" s="7" t="s">
        <v>93</v>
      </c>
      <c r="L8" s="7" t="s">
        <v>18</v>
      </c>
      <c r="M8" s="7" t="s">
        <v>94</v>
      </c>
    </row>
    <row r="9" customFormat="false" ht="23.85" hidden="false" customHeight="false" outlineLevel="0" collapsed="false">
      <c r="A9" s="7" t="s">
        <v>95</v>
      </c>
      <c r="B9" s="7" t="s">
        <v>96</v>
      </c>
      <c r="C9" s="8" t="s">
        <v>97</v>
      </c>
      <c r="D9" s="8" t="s">
        <v>98</v>
      </c>
      <c r="E9" s="8" t="s">
        <v>42</v>
      </c>
      <c r="F9" s="8" t="n">
        <v>1</v>
      </c>
      <c r="G9" s="8"/>
      <c r="H9" s="7" t="s">
        <v>99</v>
      </c>
      <c r="I9" s="7" t="s">
        <v>100</v>
      </c>
      <c r="J9" s="7" t="s">
        <v>101</v>
      </c>
      <c r="K9" s="7" t="s">
        <v>102</v>
      </c>
      <c r="L9" s="7" t="s">
        <v>17</v>
      </c>
      <c r="M9" s="7"/>
    </row>
    <row r="10" customFormat="false" ht="23.85" hidden="false" customHeight="false" outlineLevel="0" collapsed="false">
      <c r="A10" s="7" t="s">
        <v>103</v>
      </c>
      <c r="B10" s="7" t="s">
        <v>104</v>
      </c>
      <c r="C10" s="8" t="s">
        <v>97</v>
      </c>
      <c r="D10" s="8"/>
      <c r="E10" s="8" t="s">
        <v>72</v>
      </c>
      <c r="F10" s="8" t="n">
        <v>2</v>
      </c>
      <c r="G10" s="8"/>
      <c r="H10" s="7" t="s">
        <v>105</v>
      </c>
      <c r="I10" s="7" t="s">
        <v>106</v>
      </c>
      <c r="J10" s="7" t="s">
        <v>107</v>
      </c>
      <c r="K10" s="7" t="s">
        <v>108</v>
      </c>
      <c r="L10" s="7" t="s">
        <v>17</v>
      </c>
      <c r="M10" s="7" t="s">
        <v>109</v>
      </c>
    </row>
    <row r="11" customFormat="false" ht="35.05" hidden="false" customHeight="false" outlineLevel="0" collapsed="false">
      <c r="A11" s="7" t="s">
        <v>110</v>
      </c>
      <c r="B11" s="7" t="s">
        <v>111</v>
      </c>
      <c r="C11" s="8" t="s">
        <v>97</v>
      </c>
      <c r="D11" s="8"/>
      <c r="E11" s="8" t="s">
        <v>42</v>
      </c>
      <c r="F11" s="8" t="n">
        <v>2</v>
      </c>
      <c r="G11" s="8" t="s">
        <v>64</v>
      </c>
      <c r="H11" s="7" t="s">
        <v>112</v>
      </c>
      <c r="I11" s="7" t="s">
        <v>113</v>
      </c>
      <c r="J11" s="7" t="s">
        <v>114</v>
      </c>
      <c r="K11" s="7" t="s">
        <v>115</v>
      </c>
      <c r="L11" s="7" t="s">
        <v>17</v>
      </c>
      <c r="M11" s="7" t="s">
        <v>116</v>
      </c>
    </row>
    <row r="12" customFormat="false" ht="35.05" hidden="false" customHeight="false" outlineLevel="0" collapsed="false">
      <c r="A12" s="7" t="s">
        <v>117</v>
      </c>
      <c r="B12" s="7" t="s">
        <v>118</v>
      </c>
      <c r="C12" s="8" t="s">
        <v>98</v>
      </c>
      <c r="D12" s="8" t="s">
        <v>119</v>
      </c>
      <c r="E12" s="8" t="s">
        <v>42</v>
      </c>
      <c r="F12" s="8" t="n">
        <v>2</v>
      </c>
      <c r="G12" s="8"/>
      <c r="H12" s="7" t="s">
        <v>120</v>
      </c>
      <c r="I12" s="7" t="s">
        <v>121</v>
      </c>
      <c r="J12" s="7" t="s">
        <v>122</v>
      </c>
      <c r="K12" s="7" t="s">
        <v>123</v>
      </c>
      <c r="L12" s="7" t="s">
        <v>18</v>
      </c>
      <c r="M12" s="7" t="s">
        <v>124</v>
      </c>
    </row>
    <row r="13" customFormat="false" ht="35.05" hidden="false" customHeight="false" outlineLevel="0" collapsed="false">
      <c r="A13" s="7" t="s">
        <v>125</v>
      </c>
      <c r="B13" s="7" t="s">
        <v>126</v>
      </c>
      <c r="C13" s="8" t="s">
        <v>127</v>
      </c>
      <c r="D13" s="8" t="s">
        <v>119</v>
      </c>
      <c r="E13" s="8" t="s">
        <v>42</v>
      </c>
      <c r="F13" s="8" t="n">
        <v>1</v>
      </c>
      <c r="G13" s="8"/>
      <c r="H13" s="7" t="s">
        <v>128</v>
      </c>
      <c r="I13" s="7" t="s">
        <v>129</v>
      </c>
      <c r="J13" s="7" t="s">
        <v>130</v>
      </c>
      <c r="K13" s="7" t="s">
        <v>131</v>
      </c>
      <c r="L13" s="7" t="s">
        <v>132</v>
      </c>
      <c r="M13" s="7" t="s">
        <v>133</v>
      </c>
    </row>
    <row r="14" customFormat="false" ht="46.25" hidden="false" customHeight="false" outlineLevel="0" collapsed="false">
      <c r="A14" s="7" t="s">
        <v>134</v>
      </c>
      <c r="B14" s="7" t="s">
        <v>135</v>
      </c>
      <c r="C14" s="8" t="s">
        <v>136</v>
      </c>
      <c r="D14" s="8"/>
      <c r="E14" s="8" t="s">
        <v>42</v>
      </c>
      <c r="F14" s="8" t="n">
        <v>1</v>
      </c>
      <c r="G14" s="8" t="s">
        <v>64</v>
      </c>
      <c r="H14" s="7" t="s">
        <v>137</v>
      </c>
      <c r="I14" s="7" t="s">
        <v>138</v>
      </c>
      <c r="J14" s="7" t="s">
        <v>139</v>
      </c>
      <c r="K14" s="7" t="s">
        <v>140</v>
      </c>
      <c r="L14" s="7" t="s">
        <v>18</v>
      </c>
      <c r="M14" s="7" t="s">
        <v>141</v>
      </c>
    </row>
    <row r="15" customFormat="false" ht="35.05" hidden="false" customHeight="false" outlineLevel="0" collapsed="false">
      <c r="A15" s="7" t="s">
        <v>142</v>
      </c>
      <c r="B15" s="7" t="s">
        <v>143</v>
      </c>
      <c r="C15" s="8" t="s">
        <v>144</v>
      </c>
      <c r="D15" s="8"/>
      <c r="E15" s="8" t="s">
        <v>145</v>
      </c>
      <c r="F15" s="8" t="n">
        <v>1</v>
      </c>
      <c r="G15" s="8"/>
      <c r="H15" s="7" t="s">
        <v>146</v>
      </c>
      <c r="I15" s="7" t="s">
        <v>147</v>
      </c>
      <c r="J15" s="7" t="s">
        <v>148</v>
      </c>
      <c r="K15" s="7" t="s">
        <v>149</v>
      </c>
      <c r="L15" s="7" t="s">
        <v>17</v>
      </c>
      <c r="M15" s="7" t="s">
        <v>150</v>
      </c>
    </row>
    <row r="16" customFormat="false" ht="35.05" hidden="false" customHeight="false" outlineLevel="0" collapsed="false">
      <c r="A16" s="7" t="s">
        <v>151</v>
      </c>
      <c r="B16" s="7" t="s">
        <v>152</v>
      </c>
      <c r="C16" s="8" t="s">
        <v>144</v>
      </c>
      <c r="D16" s="8"/>
      <c r="E16" s="8" t="s">
        <v>145</v>
      </c>
      <c r="F16" s="8" t="n">
        <v>2</v>
      </c>
      <c r="G16" s="8"/>
      <c r="H16" s="7" t="s">
        <v>153</v>
      </c>
      <c r="I16" s="7" t="s">
        <v>154</v>
      </c>
      <c r="J16" s="7" t="s">
        <v>155</v>
      </c>
      <c r="K16" s="7" t="s">
        <v>156</v>
      </c>
      <c r="L16" s="7" t="s">
        <v>17</v>
      </c>
      <c r="M16" s="7" t="s">
        <v>157</v>
      </c>
    </row>
    <row r="17" customFormat="false" ht="46.25" hidden="false" customHeight="false" outlineLevel="0" collapsed="false">
      <c r="A17" s="7" t="s">
        <v>158</v>
      </c>
      <c r="B17" s="7" t="s">
        <v>159</v>
      </c>
      <c r="C17" s="8" t="s">
        <v>144</v>
      </c>
      <c r="D17" s="8"/>
      <c r="E17" s="8" t="s">
        <v>145</v>
      </c>
      <c r="F17" s="8" t="n">
        <v>2</v>
      </c>
      <c r="G17" s="8"/>
      <c r="H17" s="7" t="s">
        <v>160</v>
      </c>
      <c r="I17" s="7" t="s">
        <v>161</v>
      </c>
      <c r="J17" s="7" t="s">
        <v>162</v>
      </c>
      <c r="K17" s="7" t="s">
        <v>163</v>
      </c>
      <c r="L17" s="7" t="s">
        <v>18</v>
      </c>
      <c r="M17" s="7" t="s">
        <v>164</v>
      </c>
    </row>
    <row r="18" customFormat="false" ht="46.25" hidden="false" customHeight="false" outlineLevel="0" collapsed="false">
      <c r="A18" s="7" t="s">
        <v>165</v>
      </c>
      <c r="B18" s="7" t="s">
        <v>166</v>
      </c>
      <c r="C18" s="8" t="s">
        <v>144</v>
      </c>
      <c r="D18" s="8" t="s">
        <v>119</v>
      </c>
      <c r="E18" s="8" t="s">
        <v>72</v>
      </c>
      <c r="F18" s="8" t="n">
        <v>3</v>
      </c>
      <c r="G18" s="8"/>
      <c r="H18" s="7" t="s">
        <v>167</v>
      </c>
      <c r="I18" s="7" t="s">
        <v>168</v>
      </c>
      <c r="J18" s="7" t="s">
        <v>169</v>
      </c>
      <c r="K18" s="7" t="s">
        <v>170</v>
      </c>
      <c r="L18" s="7" t="s">
        <v>132</v>
      </c>
      <c r="M18" s="7" t="s">
        <v>171</v>
      </c>
    </row>
    <row r="19" customFormat="false" ht="23.85" hidden="false" customHeight="false" outlineLevel="0" collapsed="false">
      <c r="A19" s="7" t="s">
        <v>172</v>
      </c>
      <c r="B19" s="7" t="s">
        <v>173</v>
      </c>
      <c r="C19" s="8" t="s">
        <v>119</v>
      </c>
      <c r="D19" s="8"/>
      <c r="E19" s="8" t="s">
        <v>72</v>
      </c>
      <c r="F19" s="8" t="n">
        <v>3</v>
      </c>
      <c r="G19" s="8"/>
      <c r="H19" s="7" t="s">
        <v>174</v>
      </c>
      <c r="I19" s="7" t="s">
        <v>175</v>
      </c>
      <c r="J19" s="7" t="s">
        <v>176</v>
      </c>
      <c r="K19" s="7" t="s">
        <v>177</v>
      </c>
      <c r="L19" s="7" t="s">
        <v>17</v>
      </c>
      <c r="M19" s="7"/>
    </row>
    <row r="20" customFormat="false" ht="23.85" hidden="false" customHeight="false" outlineLevel="0" collapsed="false">
      <c r="A20" s="7" t="s">
        <v>178</v>
      </c>
      <c r="B20" s="7" t="s">
        <v>179</v>
      </c>
      <c r="C20" s="8" t="s">
        <v>119</v>
      </c>
      <c r="D20" s="8"/>
      <c r="E20" s="8" t="s">
        <v>42</v>
      </c>
      <c r="F20" s="8" t="n">
        <v>2</v>
      </c>
      <c r="G20" s="8"/>
      <c r="H20" s="7" t="s">
        <v>180</v>
      </c>
      <c r="I20" s="7" t="s">
        <v>181</v>
      </c>
      <c r="J20" s="7" t="s">
        <v>182</v>
      </c>
      <c r="K20" s="7" t="s">
        <v>183</v>
      </c>
      <c r="L20" s="7" t="s">
        <v>132</v>
      </c>
      <c r="M20" s="7" t="s">
        <v>184</v>
      </c>
    </row>
    <row r="21" customFormat="false" ht="23.85" hidden="false" customHeight="false" outlineLevel="0" collapsed="false">
      <c r="A21" s="7" t="s">
        <v>185</v>
      </c>
      <c r="B21" s="7" t="s">
        <v>186</v>
      </c>
      <c r="C21" s="8" t="s">
        <v>119</v>
      </c>
      <c r="D21" s="8" t="s">
        <v>187</v>
      </c>
      <c r="E21" s="8" t="s">
        <v>42</v>
      </c>
      <c r="F21" s="8" t="n">
        <v>2</v>
      </c>
      <c r="G21" s="8" t="s">
        <v>187</v>
      </c>
      <c r="H21" s="7" t="s">
        <v>188</v>
      </c>
      <c r="I21" s="7" t="s">
        <v>189</v>
      </c>
      <c r="J21" s="7" t="s">
        <v>190</v>
      </c>
      <c r="K21" s="7" t="s">
        <v>191</v>
      </c>
      <c r="L21" s="7" t="s">
        <v>18</v>
      </c>
      <c r="M21" s="7" t="s">
        <v>192</v>
      </c>
    </row>
    <row r="22" customFormat="false" ht="35.05" hidden="false" customHeight="false" outlineLevel="0" collapsed="false">
      <c r="A22" s="7" t="s">
        <v>193</v>
      </c>
      <c r="B22" s="7" t="s">
        <v>194</v>
      </c>
      <c r="C22" s="8" t="s">
        <v>119</v>
      </c>
      <c r="D22" s="8"/>
      <c r="E22" s="8" t="s">
        <v>42</v>
      </c>
      <c r="F22" s="8" t="n">
        <v>2</v>
      </c>
      <c r="G22" s="8"/>
      <c r="H22" s="7" t="s">
        <v>195</v>
      </c>
      <c r="I22" s="7" t="s">
        <v>196</v>
      </c>
      <c r="J22" s="7" t="s">
        <v>197</v>
      </c>
      <c r="K22" s="7" t="s">
        <v>198</v>
      </c>
      <c r="L22" s="7" t="s">
        <v>18</v>
      </c>
      <c r="M22" s="7" t="s">
        <v>199</v>
      </c>
    </row>
    <row r="23" customFormat="false" ht="23.85" hidden="false" customHeight="false" outlineLevel="0" collapsed="false">
      <c r="A23" s="7" t="s">
        <v>200</v>
      </c>
      <c r="B23" s="7" t="s">
        <v>201</v>
      </c>
      <c r="C23" s="8" t="s">
        <v>202</v>
      </c>
      <c r="D23" s="8" t="s">
        <v>119</v>
      </c>
      <c r="E23" s="8" t="s">
        <v>72</v>
      </c>
      <c r="F23" s="8" t="n">
        <v>3</v>
      </c>
      <c r="G23" s="8"/>
      <c r="H23" s="7" t="s">
        <v>203</v>
      </c>
      <c r="I23" s="7" t="s">
        <v>204</v>
      </c>
      <c r="J23" s="7" t="s">
        <v>205</v>
      </c>
      <c r="K23" s="7" t="s">
        <v>206</v>
      </c>
      <c r="L23" s="7" t="s">
        <v>18</v>
      </c>
      <c r="M23" s="7" t="s">
        <v>207</v>
      </c>
    </row>
    <row r="24" customFormat="false" ht="23.85" hidden="false" customHeight="false" outlineLevel="0" collapsed="false">
      <c r="A24" s="7" t="s">
        <v>208</v>
      </c>
      <c r="B24" s="7" t="s">
        <v>209</v>
      </c>
      <c r="C24" s="8" t="s">
        <v>202</v>
      </c>
      <c r="D24" s="8" t="s">
        <v>119</v>
      </c>
      <c r="E24" s="8" t="s">
        <v>72</v>
      </c>
      <c r="F24" s="8" t="n">
        <v>3</v>
      </c>
      <c r="G24" s="8"/>
      <c r="H24" s="7" t="s">
        <v>210</v>
      </c>
      <c r="I24" s="7" t="s">
        <v>211</v>
      </c>
      <c r="J24" s="7" t="s">
        <v>212</v>
      </c>
      <c r="K24" s="7" t="s">
        <v>213</v>
      </c>
      <c r="L24" s="7" t="s">
        <v>18</v>
      </c>
      <c r="M24" s="7" t="s">
        <v>214</v>
      </c>
    </row>
    <row r="25" customFormat="false" ht="35.05" hidden="false" customHeight="false" outlineLevel="0" collapsed="false">
      <c r="A25" s="7" t="s">
        <v>215</v>
      </c>
      <c r="B25" s="7" t="s">
        <v>216</v>
      </c>
      <c r="C25" s="8" t="s">
        <v>202</v>
      </c>
      <c r="D25" s="8"/>
      <c r="E25" s="8" t="s">
        <v>42</v>
      </c>
      <c r="F25" s="8" t="n">
        <v>2</v>
      </c>
      <c r="G25" s="8"/>
      <c r="H25" s="7" t="s">
        <v>217</v>
      </c>
      <c r="I25" s="7" t="s">
        <v>218</v>
      </c>
      <c r="J25" s="7" t="s">
        <v>219</v>
      </c>
      <c r="K25" s="7" t="s">
        <v>220</v>
      </c>
      <c r="L25" s="7" t="s">
        <v>18</v>
      </c>
      <c r="M25" s="7" t="s">
        <v>221</v>
      </c>
    </row>
    <row r="26" customFormat="false" ht="23.85" hidden="false" customHeight="false" outlineLevel="0" collapsed="false">
      <c r="A26" s="7" t="s">
        <v>222</v>
      </c>
      <c r="B26" s="7" t="s">
        <v>223</v>
      </c>
      <c r="C26" s="8" t="s">
        <v>202</v>
      </c>
      <c r="D26" s="8"/>
      <c r="E26" s="8" t="s">
        <v>72</v>
      </c>
      <c r="F26" s="8" t="n">
        <v>3</v>
      </c>
      <c r="G26" s="8"/>
      <c r="H26" s="7" t="s">
        <v>224</v>
      </c>
      <c r="I26" s="7" t="s">
        <v>225</v>
      </c>
      <c r="J26" s="7" t="s">
        <v>226</v>
      </c>
      <c r="K26" s="7" t="s">
        <v>227</v>
      </c>
      <c r="L26" s="7" t="s">
        <v>18</v>
      </c>
      <c r="M26" s="7" t="s">
        <v>228</v>
      </c>
    </row>
    <row r="27" customFormat="false" ht="46.25" hidden="false" customHeight="false" outlineLevel="0" collapsed="false">
      <c r="A27" s="7" t="s">
        <v>229</v>
      </c>
      <c r="B27" s="7" t="s">
        <v>230</v>
      </c>
      <c r="C27" s="8" t="s">
        <v>231</v>
      </c>
      <c r="D27" s="8"/>
      <c r="E27" s="8" t="s">
        <v>42</v>
      </c>
      <c r="F27" s="8" t="n">
        <v>1</v>
      </c>
      <c r="G27" s="8" t="s">
        <v>232</v>
      </c>
      <c r="H27" s="7" t="s">
        <v>233</v>
      </c>
      <c r="I27" s="7" t="s">
        <v>234</v>
      </c>
      <c r="J27" s="7" t="s">
        <v>235</v>
      </c>
      <c r="K27" s="7" t="s">
        <v>236</v>
      </c>
      <c r="L27" s="7" t="s">
        <v>132</v>
      </c>
      <c r="M27" s="7" t="s">
        <v>237</v>
      </c>
    </row>
    <row r="28" customFormat="false" ht="35.05" hidden="false" customHeight="false" outlineLevel="0" collapsed="false">
      <c r="A28" s="7" t="s">
        <v>238</v>
      </c>
      <c r="B28" s="7" t="s">
        <v>239</v>
      </c>
      <c r="C28" s="8" t="s">
        <v>231</v>
      </c>
      <c r="D28" s="8"/>
      <c r="E28" s="8" t="s">
        <v>42</v>
      </c>
      <c r="F28" s="8" t="n">
        <v>3</v>
      </c>
      <c r="G28" s="8"/>
      <c r="H28" s="7" t="s">
        <v>240</v>
      </c>
      <c r="I28" s="7" t="s">
        <v>241</v>
      </c>
      <c r="J28" s="7" t="s">
        <v>242</v>
      </c>
      <c r="K28" s="7" t="s">
        <v>243</v>
      </c>
      <c r="L28" s="7" t="s">
        <v>17</v>
      </c>
      <c r="M28" s="7" t="s">
        <v>244</v>
      </c>
    </row>
    <row r="29" customFormat="false" ht="35.05" hidden="false" customHeight="false" outlineLevel="0" collapsed="false">
      <c r="A29" s="7" t="s">
        <v>245</v>
      </c>
      <c r="B29" s="7" t="s">
        <v>246</v>
      </c>
      <c r="C29" s="8" t="s">
        <v>231</v>
      </c>
      <c r="D29" s="8"/>
      <c r="E29" s="8" t="s">
        <v>42</v>
      </c>
      <c r="F29" s="8" t="n">
        <v>2</v>
      </c>
      <c r="G29" s="8" t="s">
        <v>232</v>
      </c>
      <c r="H29" s="7" t="s">
        <v>247</v>
      </c>
      <c r="I29" s="7" t="s">
        <v>248</v>
      </c>
      <c r="J29" s="7" t="s">
        <v>249</v>
      </c>
      <c r="K29" s="7" t="s">
        <v>250</v>
      </c>
      <c r="L29" s="7" t="s">
        <v>18</v>
      </c>
      <c r="M29" s="7" t="s">
        <v>251</v>
      </c>
    </row>
    <row r="30" customFormat="false" ht="23.85" hidden="false" customHeight="false" outlineLevel="0" collapsed="false">
      <c r="A30" s="7" t="s">
        <v>252</v>
      </c>
      <c r="B30" s="7" t="s">
        <v>253</v>
      </c>
      <c r="C30" s="8" t="s">
        <v>254</v>
      </c>
      <c r="D30" s="8"/>
      <c r="E30" s="8" t="s">
        <v>42</v>
      </c>
      <c r="F30" s="8" t="n">
        <v>2</v>
      </c>
      <c r="G30" s="8"/>
      <c r="H30" s="7" t="s">
        <v>255</v>
      </c>
      <c r="I30" s="7" t="s">
        <v>256</v>
      </c>
      <c r="J30" s="7" t="s">
        <v>257</v>
      </c>
      <c r="K30" s="7" t="s">
        <v>258</v>
      </c>
      <c r="L30" s="7" t="s">
        <v>132</v>
      </c>
      <c r="M30" s="7" t="s">
        <v>259</v>
      </c>
    </row>
    <row r="31" customFormat="false" ht="23.85" hidden="false" customHeight="false" outlineLevel="0" collapsed="false">
      <c r="A31" s="7" t="s">
        <v>260</v>
      </c>
      <c r="B31" s="7" t="s">
        <v>261</v>
      </c>
      <c r="C31" s="8" t="s">
        <v>262</v>
      </c>
      <c r="D31" s="8"/>
      <c r="E31" s="8" t="s">
        <v>42</v>
      </c>
      <c r="F31" s="8" t="n">
        <v>2</v>
      </c>
      <c r="G31" s="8"/>
      <c r="H31" s="7" t="s">
        <v>263</v>
      </c>
      <c r="I31" s="7" t="s">
        <v>264</v>
      </c>
      <c r="J31" s="7" t="s">
        <v>265</v>
      </c>
      <c r="K31" s="7" t="s">
        <v>266</v>
      </c>
      <c r="L31" s="7" t="s">
        <v>17</v>
      </c>
      <c r="M31" s="7"/>
    </row>
    <row r="32" customFormat="false" ht="23.85" hidden="false" customHeight="false" outlineLevel="0" collapsed="false">
      <c r="A32" s="7" t="s">
        <v>267</v>
      </c>
      <c r="B32" s="7" t="s">
        <v>268</v>
      </c>
      <c r="C32" s="8" t="s">
        <v>262</v>
      </c>
      <c r="D32" s="8" t="s">
        <v>80</v>
      </c>
      <c r="E32" s="8" t="s">
        <v>42</v>
      </c>
      <c r="F32" s="8" t="n">
        <v>2</v>
      </c>
      <c r="G32" s="8"/>
      <c r="H32" s="7" t="s">
        <v>269</v>
      </c>
      <c r="I32" s="7" t="s">
        <v>270</v>
      </c>
      <c r="J32" s="7" t="s">
        <v>271</v>
      </c>
      <c r="K32" s="7" t="s">
        <v>272</v>
      </c>
      <c r="L32" s="7" t="s">
        <v>18</v>
      </c>
      <c r="M32" s="7" t="s">
        <v>273</v>
      </c>
    </row>
    <row r="33" customFormat="false" ht="35.05" hidden="false" customHeight="false" outlineLevel="0" collapsed="false">
      <c r="A33" s="7" t="s">
        <v>274</v>
      </c>
      <c r="B33" s="7" t="s">
        <v>275</v>
      </c>
      <c r="C33" s="8" t="s">
        <v>276</v>
      </c>
      <c r="D33" s="8"/>
      <c r="E33" s="8" t="s">
        <v>42</v>
      </c>
      <c r="F33" s="8" t="n">
        <v>1</v>
      </c>
      <c r="G33" s="8"/>
      <c r="H33" s="7" t="s">
        <v>277</v>
      </c>
      <c r="I33" s="7" t="s">
        <v>278</v>
      </c>
      <c r="J33" s="7" t="s">
        <v>279</v>
      </c>
      <c r="K33" s="7" t="s">
        <v>280</v>
      </c>
      <c r="L33" s="7" t="s">
        <v>18</v>
      </c>
      <c r="M33" s="7" t="s">
        <v>281</v>
      </c>
    </row>
    <row r="34" customFormat="false" ht="57.45" hidden="false" customHeight="false" outlineLevel="0" collapsed="false">
      <c r="A34" s="7" t="s">
        <v>282</v>
      </c>
      <c r="B34" s="7" t="s">
        <v>283</v>
      </c>
      <c r="C34" s="8" t="s">
        <v>284</v>
      </c>
      <c r="D34" s="8"/>
      <c r="E34" s="8" t="s">
        <v>145</v>
      </c>
      <c r="F34" s="8" t="n">
        <v>2</v>
      </c>
      <c r="G34" s="8"/>
      <c r="H34" s="7" t="s">
        <v>285</v>
      </c>
      <c r="I34" s="7" t="s">
        <v>286</v>
      </c>
      <c r="J34" s="7" t="s">
        <v>287</v>
      </c>
      <c r="K34" s="7" t="s">
        <v>288</v>
      </c>
      <c r="L34" s="7" t="s">
        <v>18</v>
      </c>
      <c r="M34" s="7" t="s">
        <v>289</v>
      </c>
    </row>
    <row r="35" customFormat="false" ht="23.85" hidden="false" customHeight="false" outlineLevel="0" collapsed="false">
      <c r="A35" s="7" t="s">
        <v>290</v>
      </c>
      <c r="B35" s="7" t="s">
        <v>291</v>
      </c>
      <c r="C35" s="8" t="s">
        <v>292</v>
      </c>
      <c r="D35" s="8" t="s">
        <v>293</v>
      </c>
      <c r="E35" s="8" t="s">
        <v>72</v>
      </c>
      <c r="F35" s="8" t="n">
        <v>2</v>
      </c>
      <c r="G35" s="8"/>
      <c r="H35" s="7" t="s">
        <v>294</v>
      </c>
      <c r="I35" s="7" t="s">
        <v>295</v>
      </c>
      <c r="J35" s="7" t="s">
        <v>296</v>
      </c>
      <c r="K35" s="7" t="s">
        <v>297</v>
      </c>
      <c r="L35" s="7" t="s">
        <v>17</v>
      </c>
      <c r="M35" s="7" t="s">
        <v>298</v>
      </c>
    </row>
    <row r="36" customFormat="false" ht="23.85" hidden="false" customHeight="false" outlineLevel="0" collapsed="false">
      <c r="A36" s="7" t="s">
        <v>299</v>
      </c>
      <c r="B36" s="7" t="s">
        <v>300</v>
      </c>
      <c r="C36" s="8" t="s">
        <v>301</v>
      </c>
      <c r="D36" s="8"/>
      <c r="E36" s="8" t="s">
        <v>145</v>
      </c>
      <c r="F36" s="8" t="n">
        <v>1</v>
      </c>
      <c r="G36" s="8"/>
      <c r="H36" s="7" t="s">
        <v>302</v>
      </c>
      <c r="I36" s="7" t="s">
        <v>303</v>
      </c>
      <c r="J36" s="7" t="s">
        <v>304</v>
      </c>
      <c r="K36" s="7" t="s">
        <v>305</v>
      </c>
      <c r="L36" s="7" t="s">
        <v>17</v>
      </c>
      <c r="M36" s="7" t="s">
        <v>306</v>
      </c>
    </row>
    <row r="37" customFormat="false" ht="35.05" hidden="false" customHeight="false" outlineLevel="0" collapsed="false">
      <c r="A37" s="7" t="s">
        <v>307</v>
      </c>
      <c r="B37" s="7" t="s">
        <v>308</v>
      </c>
      <c r="C37" s="8" t="s">
        <v>293</v>
      </c>
      <c r="D37" s="8"/>
      <c r="E37" s="8" t="s">
        <v>42</v>
      </c>
      <c r="F37" s="8" t="n">
        <v>1</v>
      </c>
      <c r="G37" s="8"/>
      <c r="H37" s="7" t="s">
        <v>309</v>
      </c>
      <c r="I37" s="7" t="s">
        <v>310</v>
      </c>
      <c r="J37" s="7" t="s">
        <v>311</v>
      </c>
      <c r="K37" s="7" t="s">
        <v>312</v>
      </c>
      <c r="L37" s="7" t="s">
        <v>132</v>
      </c>
      <c r="M37" s="7" t="s">
        <v>313</v>
      </c>
    </row>
    <row r="38" customFormat="false" ht="23.85" hidden="false" customHeight="false" outlineLevel="0" collapsed="false">
      <c r="A38" s="7" t="s">
        <v>314</v>
      </c>
      <c r="B38" s="7" t="s">
        <v>315</v>
      </c>
      <c r="C38" s="8" t="s">
        <v>276</v>
      </c>
      <c r="D38" s="8" t="s">
        <v>293</v>
      </c>
      <c r="E38" s="8" t="s">
        <v>42</v>
      </c>
      <c r="F38" s="8" t="n">
        <v>3</v>
      </c>
      <c r="G38" s="8"/>
      <c r="H38" s="7" t="s">
        <v>316</v>
      </c>
      <c r="I38" s="7" t="s">
        <v>317</v>
      </c>
      <c r="J38" s="7" t="s">
        <v>318</v>
      </c>
      <c r="K38" s="7" t="s">
        <v>319</v>
      </c>
      <c r="L38" s="7" t="s">
        <v>17</v>
      </c>
      <c r="M38" s="7" t="s">
        <v>320</v>
      </c>
    </row>
    <row r="39" customFormat="false" ht="23.85" hidden="false" customHeight="false" outlineLevel="0" collapsed="false">
      <c r="A39" s="7" t="s">
        <v>321</v>
      </c>
      <c r="B39" s="7" t="s">
        <v>322</v>
      </c>
      <c r="C39" s="8" t="s">
        <v>187</v>
      </c>
      <c r="D39" s="8" t="s">
        <v>293</v>
      </c>
      <c r="E39" s="8" t="s">
        <v>42</v>
      </c>
      <c r="F39" s="8" t="n">
        <v>2</v>
      </c>
      <c r="G39" s="8"/>
      <c r="H39" s="7" t="s">
        <v>323</v>
      </c>
      <c r="I39" s="7" t="s">
        <v>324</v>
      </c>
      <c r="J39" s="7" t="s">
        <v>325</v>
      </c>
      <c r="K39" s="7" t="s">
        <v>326</v>
      </c>
      <c r="L39" s="7" t="s">
        <v>17</v>
      </c>
      <c r="M39" s="7" t="s">
        <v>327</v>
      </c>
    </row>
  </sheetData>
  <autoFilter ref="A1:M39"/>
  <conditionalFormatting sqref="L2:L39">
    <cfRule type="cellIs" priority="2" operator="equal" aboveAverage="0" equalAverage="0" bottom="0" percent="0" rank="0" text="" dxfId="7">
      <formula>"Ready"</formula>
    </cfRule>
    <cfRule type="cellIs" priority="3" operator="equal" aboveAverage="0" equalAverage="0" bottom="0" percent="0" rank="0" text="" dxfId="8">
      <formula>"Needs confirm"</formula>
    </cfRule>
    <cfRule type="cellIs" priority="4" operator="equal" aboveAverage="0" equalAverage="0" bottom="0" percent="0" rank="0" text="" dxfId="9">
      <formula>"HOLD"</formula>
    </cfRule>
  </conditionalFormatting>
  <dataValidations count="4">
    <dataValidation allowBlank="true" errorStyle="stop" operator="between" showDropDown="false" showErrorMessage="false" showInputMessage="false" sqref="C2:D39" type="list">
      <formula1>Taxonomy!$A$2:$A$21</formula1>
      <formula2>0</formula2>
    </dataValidation>
    <dataValidation allowBlank="false" errorStyle="stop" operator="between" showDropDown="false" showErrorMessage="false" showInputMessage="false" sqref="E2:E39" type="list">
      <formula1>"prospect,guest,both"</formula1>
      <formula2>0</formula2>
    </dataValidation>
    <dataValidation allowBlank="false" errorStyle="stop" operator="between" showDropDown="false" showErrorMessage="false" showInputMessage="false" sqref="L2:L39" type="list">
      <formula1>"Ready,Needs confirm,HOLD"</formula1>
      <formula2>0</formula2>
    </dataValidation>
    <dataValidation allowBlank="false" errorStyle="stop" operator="between" showDropDown="false" showErrorMessage="false" showInputMessage="false" sqref="F2:F39" type="whole">
      <formula1>1</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24"/>
    <col collapsed="false" customWidth="true" hidden="false" outlineLevel="0" max="4" min="4" style="0" width="50"/>
    <col collapsed="false" customWidth="true" hidden="false" outlineLevel="0" max="5" min="5" style="0" width="16"/>
  </cols>
  <sheetData>
    <row r="1" customFormat="false" ht="23.85" hidden="false" customHeight="false" outlineLevel="0" collapsed="false">
      <c r="A1" s="6" t="s">
        <v>328</v>
      </c>
      <c r="B1" s="6" t="s">
        <v>329</v>
      </c>
      <c r="C1" s="6" t="s">
        <v>330</v>
      </c>
      <c r="D1" s="6" t="s">
        <v>331</v>
      </c>
      <c r="E1" s="6" t="s">
        <v>332</v>
      </c>
    </row>
    <row r="2" customFormat="false" ht="15" hidden="false" customHeight="false" outlineLevel="0" collapsed="false">
      <c r="A2" s="7" t="s">
        <v>41</v>
      </c>
      <c r="B2" s="7" t="s">
        <v>333</v>
      </c>
      <c r="C2" s="7" t="s">
        <v>334</v>
      </c>
      <c r="D2" s="7" t="s">
        <v>335</v>
      </c>
      <c r="E2" s="9" t="n">
        <f aca="false">COUNTIF(FAQs!$C$2:$C$39,A2)+COUNTIF(FAQs!$D$2:$D$39,A2)</f>
        <v>5</v>
      </c>
    </row>
    <row r="3" customFormat="false" ht="15" hidden="false" customHeight="false" outlineLevel="0" collapsed="false">
      <c r="A3" s="7" t="s">
        <v>80</v>
      </c>
      <c r="B3" s="7" t="s">
        <v>336</v>
      </c>
      <c r="C3" s="7" t="s">
        <v>337</v>
      </c>
      <c r="D3" s="7" t="s">
        <v>338</v>
      </c>
      <c r="E3" s="9" t="n">
        <f aca="false">COUNTIF(FAQs!$C$2:$C$39,A3)+COUNTIF(FAQs!$D$2:$D$39,A3)</f>
        <v>3</v>
      </c>
    </row>
    <row r="4" customFormat="false" ht="15" hidden="false" customHeight="false" outlineLevel="0" collapsed="false">
      <c r="A4" s="7" t="s">
        <v>79</v>
      </c>
      <c r="B4" s="7" t="s">
        <v>339</v>
      </c>
      <c r="C4" s="7" t="s">
        <v>340</v>
      </c>
      <c r="D4" s="7" t="s">
        <v>341</v>
      </c>
      <c r="E4" s="9" t="n">
        <f aca="false">COUNTIF(FAQs!$C$2:$C$39,A4)+COUNTIF(FAQs!$D$2:$D$39,A4)</f>
        <v>1</v>
      </c>
    </row>
    <row r="5" customFormat="false" ht="15" hidden="false" customHeight="false" outlineLevel="0" collapsed="false">
      <c r="A5" s="7" t="s">
        <v>97</v>
      </c>
      <c r="B5" s="7" t="s">
        <v>342</v>
      </c>
      <c r="C5" s="7" t="s">
        <v>343</v>
      </c>
      <c r="D5" s="7" t="s">
        <v>344</v>
      </c>
      <c r="E5" s="9" t="n">
        <f aca="false">COUNTIF(FAQs!$C$2:$C$39,A5)+COUNTIF(FAQs!$D$2:$D$39,A5)</f>
        <v>3</v>
      </c>
    </row>
    <row r="6" customFormat="false" ht="15" hidden="false" customHeight="false" outlineLevel="0" collapsed="false">
      <c r="A6" s="7" t="s">
        <v>98</v>
      </c>
      <c r="B6" s="7" t="s">
        <v>345</v>
      </c>
      <c r="C6" s="7" t="s">
        <v>346</v>
      </c>
      <c r="D6" s="7" t="s">
        <v>347</v>
      </c>
      <c r="E6" s="9" t="n">
        <f aca="false">COUNTIF(FAQs!$C$2:$C$39,A6)+COUNTIF(FAQs!$D$2:$D$39,A6)</f>
        <v>2</v>
      </c>
    </row>
    <row r="7" customFormat="false" ht="15" hidden="false" customHeight="false" outlineLevel="0" collapsed="false">
      <c r="A7" s="7" t="s">
        <v>144</v>
      </c>
      <c r="B7" s="7" t="s">
        <v>348</v>
      </c>
      <c r="C7" s="7" t="s">
        <v>349</v>
      </c>
      <c r="D7" s="7" t="s">
        <v>350</v>
      </c>
      <c r="E7" s="9" t="n">
        <f aca="false">COUNTIF(FAQs!$C$2:$C$39,A7)+COUNTIF(FAQs!$D$2:$D$39,A7)</f>
        <v>4</v>
      </c>
    </row>
    <row r="8" customFormat="false" ht="15" hidden="false" customHeight="false" outlineLevel="0" collapsed="false">
      <c r="A8" s="7" t="s">
        <v>119</v>
      </c>
      <c r="B8" s="7" t="s">
        <v>351</v>
      </c>
      <c r="C8" s="7" t="s">
        <v>352</v>
      </c>
      <c r="D8" s="7" t="s">
        <v>353</v>
      </c>
      <c r="E8" s="9" t="n">
        <f aca="false">COUNTIF(FAQs!$C$2:$C$39,A8)+COUNTIF(FAQs!$D$2:$D$39,A8)</f>
        <v>9</v>
      </c>
    </row>
    <row r="9" customFormat="false" ht="15" hidden="false" customHeight="false" outlineLevel="0" collapsed="false">
      <c r="A9" s="7" t="s">
        <v>127</v>
      </c>
      <c r="B9" s="7" t="s">
        <v>354</v>
      </c>
      <c r="C9" s="7" t="s">
        <v>355</v>
      </c>
      <c r="D9" s="7" t="s">
        <v>356</v>
      </c>
      <c r="E9" s="9" t="n">
        <f aca="false">COUNTIF(FAQs!$C$2:$C$39,A9)+COUNTIF(FAQs!$D$2:$D$39,A9)</f>
        <v>1</v>
      </c>
    </row>
    <row r="10" customFormat="false" ht="15" hidden="false" customHeight="false" outlineLevel="0" collapsed="false">
      <c r="A10" s="7" t="s">
        <v>231</v>
      </c>
      <c r="B10" s="7" t="s">
        <v>357</v>
      </c>
      <c r="C10" s="7" t="s">
        <v>358</v>
      </c>
      <c r="D10" s="7" t="s">
        <v>359</v>
      </c>
      <c r="E10" s="9" t="n">
        <f aca="false">COUNTIF(FAQs!$C$2:$C$39,A10)+COUNTIF(FAQs!$D$2:$D$39,A10)</f>
        <v>3</v>
      </c>
    </row>
    <row r="11" customFormat="false" ht="15" hidden="false" customHeight="false" outlineLevel="0" collapsed="false">
      <c r="A11" s="7" t="s">
        <v>254</v>
      </c>
      <c r="B11" s="7" t="s">
        <v>360</v>
      </c>
      <c r="C11" s="7" t="s">
        <v>361</v>
      </c>
      <c r="D11" s="7" t="s">
        <v>362</v>
      </c>
      <c r="E11" s="9" t="n">
        <f aca="false">COUNTIF(FAQs!$C$2:$C$39,A11)+COUNTIF(FAQs!$D$2:$D$39,A11)</f>
        <v>1</v>
      </c>
    </row>
    <row r="12" customFormat="false" ht="15" hidden="false" customHeight="false" outlineLevel="0" collapsed="false">
      <c r="A12" s="7" t="s">
        <v>202</v>
      </c>
      <c r="B12" s="7" t="s">
        <v>363</v>
      </c>
      <c r="C12" s="7" t="s">
        <v>363</v>
      </c>
      <c r="D12" s="7" t="s">
        <v>364</v>
      </c>
      <c r="E12" s="9" t="n">
        <f aca="false">COUNTIF(FAQs!$C$2:$C$39,A12)+COUNTIF(FAQs!$D$2:$D$39,A12)</f>
        <v>4</v>
      </c>
    </row>
    <row r="13" customFormat="false" ht="15" hidden="false" customHeight="false" outlineLevel="0" collapsed="false">
      <c r="A13" s="7" t="s">
        <v>262</v>
      </c>
      <c r="B13" s="7" t="s">
        <v>365</v>
      </c>
      <c r="C13" s="7" t="s">
        <v>366</v>
      </c>
      <c r="D13" s="7" t="s">
        <v>367</v>
      </c>
      <c r="E13" s="9" t="n">
        <f aca="false">COUNTIF(FAQs!$C$2:$C$39,A13)+COUNTIF(FAQs!$D$2:$D$39,A13)</f>
        <v>2</v>
      </c>
    </row>
    <row r="14" customFormat="false" ht="15" hidden="false" customHeight="false" outlineLevel="0" collapsed="false">
      <c r="A14" s="7" t="s">
        <v>136</v>
      </c>
      <c r="B14" s="7" t="s">
        <v>368</v>
      </c>
      <c r="C14" s="7" t="s">
        <v>369</v>
      </c>
      <c r="D14" s="7" t="s">
        <v>370</v>
      </c>
      <c r="E14" s="9" t="n">
        <f aca="false">COUNTIF(FAQs!$C$2:$C$39,A14)+COUNTIF(FAQs!$D$2:$D$39,A14)</f>
        <v>1</v>
      </c>
    </row>
    <row r="15" customFormat="false" ht="15" hidden="false" customHeight="false" outlineLevel="0" collapsed="false">
      <c r="A15" s="7" t="s">
        <v>276</v>
      </c>
      <c r="B15" s="7" t="s">
        <v>371</v>
      </c>
      <c r="C15" s="7" t="s">
        <v>372</v>
      </c>
      <c r="D15" s="7" t="s">
        <v>373</v>
      </c>
      <c r="E15" s="9" t="n">
        <f aca="false">COUNTIF(FAQs!$C$2:$C$39,A15)+COUNTIF(FAQs!$D$2:$D$39,A15)</f>
        <v>2</v>
      </c>
    </row>
    <row r="16" customFormat="false" ht="15" hidden="false" customHeight="false" outlineLevel="0" collapsed="false">
      <c r="A16" s="7" t="s">
        <v>284</v>
      </c>
      <c r="B16" s="7" t="s">
        <v>374</v>
      </c>
      <c r="C16" s="7" t="s">
        <v>375</v>
      </c>
      <c r="D16" s="7" t="s">
        <v>376</v>
      </c>
      <c r="E16" s="9" t="n">
        <f aca="false">COUNTIF(FAQs!$C$2:$C$39,A16)+COUNTIF(FAQs!$D$2:$D$39,A16)</f>
        <v>1</v>
      </c>
    </row>
    <row r="17" customFormat="false" ht="15" hidden="false" customHeight="false" outlineLevel="0" collapsed="false">
      <c r="A17" s="7" t="s">
        <v>187</v>
      </c>
      <c r="B17" s="7" t="s">
        <v>377</v>
      </c>
      <c r="C17" s="7" t="s">
        <v>378</v>
      </c>
      <c r="D17" s="7" t="s">
        <v>379</v>
      </c>
      <c r="E17" s="9" t="n">
        <f aca="false">COUNTIF(FAQs!$C$2:$C$39,A17)+COUNTIF(FAQs!$D$2:$D$39,A17)</f>
        <v>2</v>
      </c>
    </row>
    <row r="18" customFormat="false" ht="15" hidden="false" customHeight="false" outlineLevel="0" collapsed="false">
      <c r="A18" s="7" t="s">
        <v>301</v>
      </c>
      <c r="B18" s="7" t="s">
        <v>380</v>
      </c>
      <c r="C18" s="7" t="s">
        <v>381</v>
      </c>
      <c r="D18" s="7" t="s">
        <v>382</v>
      </c>
      <c r="E18" s="9" t="n">
        <f aca="false">COUNTIF(FAQs!$C$2:$C$39,A18)+COUNTIF(FAQs!$D$2:$D$39,A18)</f>
        <v>1</v>
      </c>
    </row>
    <row r="19" customFormat="false" ht="15" hidden="false" customHeight="false" outlineLevel="0" collapsed="false">
      <c r="A19" s="7" t="s">
        <v>293</v>
      </c>
      <c r="B19" s="7" t="s">
        <v>383</v>
      </c>
      <c r="C19" s="7" t="s">
        <v>384</v>
      </c>
      <c r="D19" s="7" t="s">
        <v>385</v>
      </c>
      <c r="E19" s="9" t="n">
        <f aca="false">COUNTIF(FAQs!$C$2:$C$39,A19)+COUNTIF(FAQs!$D$2:$D$39,A19)</f>
        <v>4</v>
      </c>
    </row>
    <row r="20" customFormat="false" ht="15" hidden="false" customHeight="false" outlineLevel="0" collapsed="false">
      <c r="A20" s="7" t="s">
        <v>292</v>
      </c>
      <c r="B20" s="7" t="s">
        <v>386</v>
      </c>
      <c r="C20" s="7" t="s">
        <v>387</v>
      </c>
      <c r="D20" s="7" t="s">
        <v>388</v>
      </c>
      <c r="E20" s="9" t="n">
        <f aca="false">COUNTIF(FAQs!$C$2:$C$39,A20)+COUNTIF(FAQs!$D$2:$D$39,A20)</f>
        <v>1</v>
      </c>
    </row>
    <row r="21" customFormat="false" ht="15" hidden="false" customHeight="false" outlineLevel="0" collapsed="false">
      <c r="A21" s="7" t="s">
        <v>389</v>
      </c>
      <c r="B21" s="7" t="s">
        <v>390</v>
      </c>
      <c r="C21" s="7" t="s">
        <v>391</v>
      </c>
      <c r="D21" s="7" t="s">
        <v>392</v>
      </c>
      <c r="E21" s="9" t="n">
        <f aca="false">COUNTIF(FAQs!$C$2:$C$39,A21)+COUNTIF(FAQs!$D$2:$D$39,A21)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30"/>
    <col collapsed="false" customWidth="true" hidden="false" outlineLevel="0" max="4" min="4" style="0" width="36"/>
    <col collapsed="false" customWidth="true" hidden="false" outlineLevel="0" max="5" min="5" style="0" width="14"/>
    <col collapsed="false" customWidth="true" hidden="false" outlineLevel="0" max="6" min="6" style="0" width="50"/>
    <col collapsed="false" customWidth="true" hidden="false" outlineLevel="0" max="7" min="7" style="0" width="12"/>
  </cols>
  <sheetData>
    <row r="1" customFormat="false" ht="23.85" hidden="false" customHeight="false" outlineLevel="0" collapsed="false">
      <c r="A1" s="6" t="s">
        <v>393</v>
      </c>
      <c r="B1" s="6" t="s">
        <v>394</v>
      </c>
      <c r="C1" s="6" t="s">
        <v>395</v>
      </c>
      <c r="D1" s="6" t="s">
        <v>396</v>
      </c>
      <c r="E1" s="6" t="s">
        <v>37</v>
      </c>
      <c r="F1" s="6" t="s">
        <v>397</v>
      </c>
      <c r="G1" s="6" t="s">
        <v>398</v>
      </c>
    </row>
    <row r="2" customFormat="false" ht="15" hidden="false" customHeight="false" outlineLevel="0" collapsed="false">
      <c r="A2" s="7" t="s">
        <v>399</v>
      </c>
      <c r="B2" s="8" t="s">
        <v>400</v>
      </c>
      <c r="C2" s="8" t="s">
        <v>400</v>
      </c>
      <c r="D2" s="7" t="s">
        <v>401</v>
      </c>
      <c r="E2" s="7" t="s">
        <v>18</v>
      </c>
      <c r="F2" s="7" t="s">
        <v>402</v>
      </c>
      <c r="G2" s="9" t="n">
        <f aca="false">COUNTIF(FAQs!$I$2:$I$39,"*"&amp;A2&amp;"*")</f>
        <v>1</v>
      </c>
    </row>
    <row r="3" customFormat="false" ht="15" hidden="false" customHeight="false" outlineLevel="0" collapsed="false">
      <c r="A3" s="7" t="s">
        <v>403</v>
      </c>
      <c r="B3" s="8" t="s">
        <v>404</v>
      </c>
      <c r="C3" s="8" t="s">
        <v>404</v>
      </c>
      <c r="D3" s="7" t="s">
        <v>405</v>
      </c>
      <c r="E3" s="7" t="s">
        <v>17</v>
      </c>
      <c r="F3" s="7" t="s">
        <v>406</v>
      </c>
      <c r="G3" s="9" t="n">
        <f aca="false">COUNTIF(FAQs!$I$2:$I$39,"*"&amp;A3&amp;"*")</f>
        <v>1</v>
      </c>
    </row>
    <row r="4" customFormat="false" ht="15" hidden="false" customHeight="false" outlineLevel="0" collapsed="false">
      <c r="A4" s="7" t="s">
        <v>407</v>
      </c>
      <c r="B4" s="8" t="s">
        <v>400</v>
      </c>
      <c r="C4" s="8" t="s">
        <v>400</v>
      </c>
      <c r="D4" s="7" t="s">
        <v>408</v>
      </c>
      <c r="E4" s="7" t="s">
        <v>17</v>
      </c>
      <c r="F4" s="7"/>
      <c r="G4" s="9" t="n">
        <f aca="false">COUNTIF(FAQs!$I$2:$I$39,"*"&amp;A4&amp;"*")</f>
        <v>1</v>
      </c>
    </row>
    <row r="5" customFormat="false" ht="15" hidden="false" customHeight="false" outlineLevel="0" collapsed="false">
      <c r="A5" s="7" t="s">
        <v>409</v>
      </c>
      <c r="B5" s="8" t="s">
        <v>410</v>
      </c>
      <c r="C5" s="8" t="s">
        <v>411</v>
      </c>
      <c r="D5" s="7" t="s">
        <v>412</v>
      </c>
      <c r="E5" s="7" t="s">
        <v>17</v>
      </c>
      <c r="F5" s="7"/>
      <c r="G5" s="9" t="n">
        <f aca="false">COUNTIF(FAQs!$I$2:$I$39,"*"&amp;A5&amp;"*")</f>
        <v>1</v>
      </c>
    </row>
    <row r="6" customFormat="false" ht="15" hidden="false" customHeight="false" outlineLevel="0" collapsed="false">
      <c r="A6" s="7" t="s">
        <v>413</v>
      </c>
      <c r="B6" s="8" t="s">
        <v>414</v>
      </c>
      <c r="C6" s="8" t="s">
        <v>414</v>
      </c>
      <c r="D6" s="7" t="s">
        <v>415</v>
      </c>
      <c r="E6" s="7" t="s">
        <v>17</v>
      </c>
      <c r="F6" s="7"/>
      <c r="G6" s="9" t="n">
        <f aca="false">COUNTIF(FAQs!$I$2:$I$39,"*"&amp;A6&amp;"*")</f>
        <v>1</v>
      </c>
    </row>
    <row r="7" customFormat="false" ht="15" hidden="false" customHeight="false" outlineLevel="0" collapsed="false">
      <c r="A7" s="7" t="s">
        <v>416</v>
      </c>
      <c r="B7" s="8" t="s">
        <v>417</v>
      </c>
      <c r="C7" s="8" t="s">
        <v>417</v>
      </c>
      <c r="D7" s="7" t="s">
        <v>418</v>
      </c>
      <c r="E7" s="7" t="s">
        <v>17</v>
      </c>
      <c r="F7" s="7" t="s">
        <v>419</v>
      </c>
      <c r="G7" s="9" t="n">
        <f aca="false">COUNTIF(FAQs!$I$2:$I$39,"*"&amp;A7&amp;"*")</f>
        <v>1</v>
      </c>
    </row>
    <row r="8" customFormat="false" ht="15" hidden="false" customHeight="false" outlineLevel="0" collapsed="false">
      <c r="A8" s="7" t="s">
        <v>420</v>
      </c>
      <c r="B8" s="8" t="s">
        <v>421</v>
      </c>
      <c r="C8" s="8" t="s">
        <v>422</v>
      </c>
      <c r="D8" s="7" t="s">
        <v>423</v>
      </c>
      <c r="E8" s="7" t="s">
        <v>17</v>
      </c>
      <c r="F8" s="7"/>
      <c r="G8" s="9" t="n">
        <f aca="false">COUNTIF(FAQs!$I$2:$I$39,"*"&amp;A8&amp;"*")</f>
        <v>1</v>
      </c>
    </row>
    <row r="9" customFormat="false" ht="15" hidden="false" customHeight="false" outlineLevel="0" collapsed="false">
      <c r="A9" s="7" t="s">
        <v>424</v>
      </c>
      <c r="B9" s="8" t="s">
        <v>425</v>
      </c>
      <c r="C9" s="8" t="s">
        <v>426</v>
      </c>
      <c r="D9" s="7" t="s">
        <v>427</v>
      </c>
      <c r="E9" s="7" t="s">
        <v>17</v>
      </c>
      <c r="F9" s="7"/>
      <c r="G9" s="9" t="n">
        <f aca="false">COUNTIF(FAQs!$I$2:$I$39,"*"&amp;A9&amp;"*")</f>
        <v>1</v>
      </c>
    </row>
    <row r="10" customFormat="false" ht="15" hidden="false" customHeight="false" outlineLevel="0" collapsed="false">
      <c r="A10" s="7" t="s">
        <v>428</v>
      </c>
      <c r="B10" s="8" t="s">
        <v>104</v>
      </c>
      <c r="C10" s="8" t="s">
        <v>104</v>
      </c>
      <c r="D10" s="7" t="s">
        <v>429</v>
      </c>
      <c r="E10" s="7" t="s">
        <v>17</v>
      </c>
      <c r="F10" s="7" t="s">
        <v>430</v>
      </c>
      <c r="G10" s="9" t="n">
        <f aca="false">COUNTIF(FAQs!$I$2:$I$39,"*"&amp;A10&amp;"*")</f>
        <v>1</v>
      </c>
    </row>
    <row r="11" customFormat="false" ht="15" hidden="false" customHeight="false" outlineLevel="0" collapsed="false">
      <c r="A11" s="7" t="s">
        <v>431</v>
      </c>
      <c r="B11" s="8" t="s">
        <v>432</v>
      </c>
      <c r="C11" s="8" t="s">
        <v>432</v>
      </c>
      <c r="D11" s="7" t="s">
        <v>433</v>
      </c>
      <c r="E11" s="7" t="s">
        <v>18</v>
      </c>
      <c r="F11" s="7" t="s">
        <v>434</v>
      </c>
      <c r="G11" s="9" t="n">
        <f aca="false">COUNTIF(FAQs!$I$2:$I$39,"*"&amp;A11&amp;"*")</f>
        <v>1</v>
      </c>
    </row>
    <row r="12" customFormat="false" ht="15" hidden="false" customHeight="false" outlineLevel="0" collapsed="false">
      <c r="A12" s="7" t="s">
        <v>435</v>
      </c>
      <c r="B12" s="8" t="s">
        <v>436</v>
      </c>
      <c r="C12" s="8" t="s">
        <v>437</v>
      </c>
      <c r="D12" s="7" t="s">
        <v>438</v>
      </c>
      <c r="E12" s="7" t="s">
        <v>17</v>
      </c>
      <c r="F12" s="7"/>
      <c r="G12" s="9" t="n">
        <f aca="false">COUNTIF(FAQs!$I$2:$I$39,"*"&amp;A12&amp;"*")</f>
        <v>1</v>
      </c>
    </row>
    <row r="13" customFormat="false" ht="15" hidden="false" customHeight="false" outlineLevel="0" collapsed="false">
      <c r="A13" s="7" t="s">
        <v>439</v>
      </c>
      <c r="B13" s="8" t="s">
        <v>440</v>
      </c>
      <c r="C13" s="8" t="s">
        <v>441</v>
      </c>
      <c r="D13" s="7" t="s">
        <v>442</v>
      </c>
      <c r="E13" s="7" t="s">
        <v>17</v>
      </c>
      <c r="F13" s="7"/>
      <c r="G13" s="9" t="n">
        <f aca="false">COUNTIF(FAQs!$I$2:$I$39,"*"&amp;A13&amp;"*")</f>
        <v>1</v>
      </c>
    </row>
    <row r="14" customFormat="false" ht="15" hidden="false" customHeight="false" outlineLevel="0" collapsed="false">
      <c r="A14" s="7" t="s">
        <v>443</v>
      </c>
      <c r="B14" s="8" t="s">
        <v>444</v>
      </c>
      <c r="C14" s="8" t="s">
        <v>445</v>
      </c>
      <c r="D14" s="7" t="s">
        <v>446</v>
      </c>
      <c r="E14" s="7" t="s">
        <v>17</v>
      </c>
      <c r="F14" s="7"/>
      <c r="G14" s="9" t="n">
        <f aca="false">COUNTIF(FAQs!$I$2:$I$39,"*"&amp;A14&amp;"*")</f>
        <v>1</v>
      </c>
    </row>
    <row r="15" customFormat="false" ht="15" hidden="false" customHeight="false" outlineLevel="0" collapsed="false">
      <c r="A15" s="7" t="s">
        <v>447</v>
      </c>
      <c r="B15" s="8" t="s">
        <v>410</v>
      </c>
      <c r="C15" s="8" t="s">
        <v>411</v>
      </c>
      <c r="D15" s="7" t="s">
        <v>448</v>
      </c>
      <c r="E15" s="7" t="s">
        <v>17</v>
      </c>
      <c r="F15" s="7" t="s">
        <v>449</v>
      </c>
      <c r="G15" s="9" t="n">
        <f aca="false">COUNTIF(FAQs!$I$2:$I$39,"*"&amp;A15&amp;"*")</f>
        <v>1</v>
      </c>
    </row>
    <row r="16" customFormat="false" ht="23.85" hidden="false" customHeight="false" outlineLevel="0" collapsed="false">
      <c r="A16" s="7" t="s">
        <v>450</v>
      </c>
      <c r="B16" s="8" t="s">
        <v>451</v>
      </c>
      <c r="C16" s="8" t="s">
        <v>451</v>
      </c>
      <c r="D16" s="7" t="s">
        <v>452</v>
      </c>
      <c r="E16" s="7" t="s">
        <v>132</v>
      </c>
      <c r="F16" s="7" t="s">
        <v>453</v>
      </c>
      <c r="G16" s="9" t="n">
        <f aca="false">COUNTIF(FAQs!$I$2:$I$39,"*"&amp;A16&amp;"*")</f>
        <v>1</v>
      </c>
    </row>
    <row r="17" customFormat="false" ht="15" hidden="false" customHeight="false" outlineLevel="0" collapsed="false">
      <c r="A17" s="7" t="s">
        <v>454</v>
      </c>
      <c r="B17" s="8" t="s">
        <v>455</v>
      </c>
      <c r="C17" s="8" t="s">
        <v>455</v>
      </c>
      <c r="D17" s="7" t="s">
        <v>456</v>
      </c>
      <c r="E17" s="7" t="s">
        <v>132</v>
      </c>
      <c r="F17" s="7" t="s">
        <v>457</v>
      </c>
      <c r="G17" s="9" t="n">
        <f aca="false">COUNTIF(FAQs!$I$2:$I$39,"*"&amp;A17&amp;"*")</f>
        <v>1</v>
      </c>
    </row>
    <row r="18" customFormat="false" ht="15" hidden="false" customHeight="false" outlineLevel="0" collapsed="false">
      <c r="A18" s="7" t="s">
        <v>458</v>
      </c>
      <c r="B18" s="8" t="s">
        <v>459</v>
      </c>
      <c r="C18" s="8" t="s">
        <v>460</v>
      </c>
      <c r="D18" s="7" t="s">
        <v>461</v>
      </c>
      <c r="E18" s="7" t="s">
        <v>18</v>
      </c>
      <c r="F18" s="7"/>
      <c r="G18" s="9" t="n">
        <f aca="false">COUNTIF(FAQs!$I$2:$I$39,"*"&amp;A18&amp;"*")</f>
        <v>1</v>
      </c>
    </row>
    <row r="19" customFormat="false" ht="23.85" hidden="false" customHeight="false" outlineLevel="0" collapsed="false">
      <c r="A19" s="7" t="s">
        <v>462</v>
      </c>
      <c r="B19" s="8" t="s">
        <v>463</v>
      </c>
      <c r="C19" s="8" t="s">
        <v>463</v>
      </c>
      <c r="D19" s="7" t="s">
        <v>464</v>
      </c>
      <c r="E19" s="7" t="s">
        <v>132</v>
      </c>
      <c r="F19" s="7" t="s">
        <v>465</v>
      </c>
      <c r="G19" s="9" t="n">
        <f aca="false">COUNTIF(FAQs!$I$2:$I$39,"*"&amp;A19&amp;"*")</f>
        <v>2</v>
      </c>
    </row>
    <row r="20" customFormat="false" ht="15" hidden="false" customHeight="false" outlineLevel="0" collapsed="false">
      <c r="A20" s="7" t="s">
        <v>466</v>
      </c>
      <c r="B20" s="8" t="s">
        <v>467</v>
      </c>
      <c r="C20" s="8" t="s">
        <v>467</v>
      </c>
      <c r="D20" s="7" t="s">
        <v>468</v>
      </c>
      <c r="E20" s="7" t="s">
        <v>132</v>
      </c>
      <c r="F20" s="7" t="s">
        <v>469</v>
      </c>
      <c r="G20" s="9" t="n">
        <f aca="false">COUNTIF(FAQs!$I$2:$I$39,"*"&amp;A20&amp;"*")</f>
        <v>2</v>
      </c>
    </row>
    <row r="21" customFormat="false" ht="15" hidden="false" customHeight="false" outlineLevel="0" collapsed="false">
      <c r="A21" s="7" t="s">
        <v>470</v>
      </c>
      <c r="B21" s="8" t="s">
        <v>471</v>
      </c>
      <c r="C21" s="8" t="s">
        <v>471</v>
      </c>
      <c r="D21" s="7" t="s">
        <v>472</v>
      </c>
      <c r="E21" s="7" t="s">
        <v>17</v>
      </c>
      <c r="F21" s="7"/>
      <c r="G21" s="9" t="n">
        <f aca="false">COUNTIF(FAQs!$I$2:$I$39,"*"&amp;A21&amp;"*")</f>
        <v>4</v>
      </c>
    </row>
    <row r="22" customFormat="false" ht="15" hidden="false" customHeight="false" outlineLevel="0" collapsed="false">
      <c r="A22" s="7" t="s">
        <v>473</v>
      </c>
      <c r="B22" s="8" t="s">
        <v>474</v>
      </c>
      <c r="C22" s="8" t="s">
        <v>474</v>
      </c>
      <c r="D22" s="7" t="s">
        <v>475</v>
      </c>
      <c r="E22" s="7" t="s">
        <v>18</v>
      </c>
      <c r="F22" s="7" t="s">
        <v>476</v>
      </c>
      <c r="G22" s="9" t="n">
        <f aca="false">COUNTIF(FAQs!$I$2:$I$39,"*"&amp;A22&amp;"*")</f>
        <v>1</v>
      </c>
    </row>
    <row r="23" customFormat="false" ht="15" hidden="false" customHeight="false" outlineLevel="0" collapsed="false">
      <c r="A23" s="7" t="s">
        <v>477</v>
      </c>
      <c r="B23" s="8" t="s">
        <v>478</v>
      </c>
      <c r="C23" s="8" t="s">
        <v>478</v>
      </c>
      <c r="D23" s="7" t="s">
        <v>479</v>
      </c>
      <c r="E23" s="7" t="s">
        <v>17</v>
      </c>
      <c r="F23" s="7" t="s">
        <v>480</v>
      </c>
      <c r="G23" s="9" t="n">
        <f aca="false">COUNTIF(FAQs!$I$2:$I$39,"*"&amp;A23&amp;"*")</f>
        <v>1</v>
      </c>
    </row>
    <row r="24" customFormat="false" ht="15" hidden="false" customHeight="false" outlineLevel="0" collapsed="false">
      <c r="A24" s="7" t="s">
        <v>481</v>
      </c>
      <c r="B24" s="8" t="s">
        <v>482</v>
      </c>
      <c r="C24" s="8" t="s">
        <v>482</v>
      </c>
      <c r="D24" s="7" t="s">
        <v>483</v>
      </c>
      <c r="E24" s="7" t="s">
        <v>18</v>
      </c>
      <c r="F24" s="7"/>
      <c r="G24" s="9" t="n">
        <f aca="false">COUNTIF(FAQs!$I$2:$I$39,"*"&amp;A24&amp;"*")</f>
        <v>1</v>
      </c>
    </row>
    <row r="25" customFormat="false" ht="15" hidden="false" customHeight="false" outlineLevel="0" collapsed="false">
      <c r="A25" s="7" t="s">
        <v>484</v>
      </c>
      <c r="B25" s="8" t="s">
        <v>485</v>
      </c>
      <c r="C25" s="8" t="s">
        <v>485</v>
      </c>
      <c r="D25" s="7" t="s">
        <v>486</v>
      </c>
      <c r="E25" s="7" t="s">
        <v>18</v>
      </c>
      <c r="F25" s="7" t="s">
        <v>487</v>
      </c>
      <c r="G25" s="9" t="n">
        <f aca="false">COUNTIF(FAQs!$I$2:$I$39,"*"&amp;A25&amp;"*")</f>
        <v>0</v>
      </c>
    </row>
    <row r="26" customFormat="false" ht="15" hidden="false" customHeight="false" outlineLevel="0" collapsed="false">
      <c r="A26" s="7" t="s">
        <v>488</v>
      </c>
      <c r="B26" s="8" t="s">
        <v>489</v>
      </c>
      <c r="C26" s="8" t="s">
        <v>489</v>
      </c>
      <c r="D26" s="7" t="s">
        <v>490</v>
      </c>
      <c r="E26" s="7" t="s">
        <v>17</v>
      </c>
      <c r="F26" s="7"/>
      <c r="G26" s="9" t="n">
        <f aca="false">COUNTIF(FAQs!$I$2:$I$39,"*"&amp;A26&amp;"*")</f>
        <v>1</v>
      </c>
    </row>
    <row r="27" customFormat="false" ht="23.85" hidden="false" customHeight="false" outlineLevel="0" collapsed="false">
      <c r="A27" s="7" t="s">
        <v>491</v>
      </c>
      <c r="B27" s="8" t="s">
        <v>492</v>
      </c>
      <c r="C27" s="8" t="s">
        <v>492</v>
      </c>
      <c r="D27" s="7" t="s">
        <v>493</v>
      </c>
      <c r="E27" s="7" t="s">
        <v>18</v>
      </c>
      <c r="F27" s="7" t="s">
        <v>494</v>
      </c>
      <c r="G27" s="9" t="n">
        <f aca="false">COUNTIF(FAQs!$I$2:$I$39,"*"&amp;A27&amp;"*")</f>
        <v>1</v>
      </c>
    </row>
    <row r="28" customFormat="false" ht="15" hidden="false" customHeight="false" outlineLevel="0" collapsed="false">
      <c r="A28" s="7" t="s">
        <v>495</v>
      </c>
      <c r="B28" s="8" t="s">
        <v>496</v>
      </c>
      <c r="C28" s="8" t="s">
        <v>496</v>
      </c>
      <c r="D28" s="7" t="s">
        <v>497</v>
      </c>
      <c r="E28" s="7" t="s">
        <v>18</v>
      </c>
      <c r="F28" s="7" t="s">
        <v>498</v>
      </c>
      <c r="G28" s="9" t="n">
        <f aca="false">COUNTIF(FAQs!$I$2:$I$39,"*"&amp;A28&amp;"*")</f>
        <v>1</v>
      </c>
    </row>
    <row r="29" customFormat="false" ht="15" hidden="false" customHeight="false" outlineLevel="0" collapsed="false">
      <c r="A29" s="7" t="s">
        <v>499</v>
      </c>
      <c r="B29" s="8" t="s">
        <v>500</v>
      </c>
      <c r="C29" s="8" t="s">
        <v>500</v>
      </c>
      <c r="D29" s="7" t="s">
        <v>501</v>
      </c>
      <c r="E29" s="7" t="s">
        <v>18</v>
      </c>
      <c r="F29" s="7" t="s">
        <v>502</v>
      </c>
      <c r="G29" s="9" t="n">
        <f aca="false">COUNTIF(FAQs!$I$2:$I$39,"*"&amp;A29&amp;"*")</f>
        <v>1</v>
      </c>
    </row>
    <row r="30" customFormat="false" ht="15" hidden="false" customHeight="false" outlineLevel="0" collapsed="false">
      <c r="A30" s="7" t="s">
        <v>503</v>
      </c>
      <c r="B30" s="8" t="s">
        <v>504</v>
      </c>
      <c r="C30" s="8" t="s">
        <v>504</v>
      </c>
      <c r="D30" s="7" t="s">
        <v>505</v>
      </c>
      <c r="E30" s="7" t="s">
        <v>18</v>
      </c>
      <c r="F30" s="7"/>
      <c r="G30" s="9" t="n">
        <f aca="false">COUNTIF(FAQs!$I$2:$I$39,"*"&amp;A30&amp;"*")</f>
        <v>1</v>
      </c>
    </row>
  </sheetData>
  <conditionalFormatting sqref="E2:E30">
    <cfRule type="cellIs" priority="2" operator="equal" aboveAverage="0" equalAverage="0" bottom="0" percent="0" rank="0" text="" dxfId="7">
      <formula>"Ready"</formula>
    </cfRule>
    <cfRule type="cellIs" priority="3" operator="equal" aboveAverage="0" equalAverage="0" bottom="0" percent="0" rank="0" text="" dxfId="8">
      <formula>"Needs confirm"</formula>
    </cfRule>
    <cfRule type="cellIs" priority="4" operator="equal" aboveAverage="0" equalAverage="0" bottom="0" percent="0" rank="0" text="" dxfId="9">
      <formula>"HOLD"</formula>
    </cfRule>
  </conditionalFormatting>
  <conditionalFormatting sqref="G2:G30">
    <cfRule type="cellIs" priority="5" operator="equal" aboveAverage="0" equalAverage="0" bottom="0" percent="0" rank="0" text="" dxfId="8">
      <formula>0</formula>
    </cfRule>
  </conditionalFormatting>
  <dataValidations count="1">
    <dataValidation allowBlank="false" errorStyle="stop" operator="between" showDropDown="false" showErrorMessage="false" showInputMessage="false" sqref="E2:E30" type="list">
      <formula1>"Ready,Needs confirm,HOLD"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11"/>
    <col collapsed="false" customWidth="true" hidden="false" outlineLevel="0" max="7" min="4" style="0" width="18"/>
    <col collapsed="false" customWidth="true" hidden="false" outlineLevel="0" max="8" min="8" style="0" width="7"/>
    <col collapsed="false" customWidth="true" hidden="false" outlineLevel="0" max="9" min="9" style="0" width="9"/>
    <col collapsed="false" customWidth="true" hidden="false" outlineLevel="0" max="11" min="10" style="0" width="8"/>
    <col collapsed="false" customWidth="true" hidden="false" outlineLevel="0" max="12" min="12" style="0" width="9"/>
    <col collapsed="false" customWidth="true" hidden="false" outlineLevel="0" max="13" min="13" style="0" width="60"/>
  </cols>
  <sheetData>
    <row r="1" customFormat="false" ht="15" hidden="false" customHeight="false" outlineLevel="0" collapsed="false">
      <c r="A1" s="6" t="s">
        <v>506</v>
      </c>
      <c r="B1" s="6" t="s">
        <v>507</v>
      </c>
      <c r="C1" s="6" t="s">
        <v>30</v>
      </c>
      <c r="D1" s="6" t="s">
        <v>508</v>
      </c>
      <c r="E1" s="6" t="s">
        <v>29</v>
      </c>
      <c r="F1" s="6" t="s">
        <v>509</v>
      </c>
      <c r="G1" s="6" t="s">
        <v>510</v>
      </c>
      <c r="H1" s="6" t="s">
        <v>511</v>
      </c>
      <c r="I1" s="6" t="s">
        <v>512</v>
      </c>
      <c r="J1" s="6" t="s">
        <v>513</v>
      </c>
      <c r="K1" s="6" t="s">
        <v>514</v>
      </c>
      <c r="L1" s="6" t="s">
        <v>515</v>
      </c>
      <c r="M1" s="6" t="s">
        <v>516</v>
      </c>
    </row>
    <row r="2" customFormat="false" ht="15" hidden="false" customHeight="false" outlineLevel="0" collapsed="false">
      <c r="A2" s="7" t="s">
        <v>517</v>
      </c>
      <c r="B2" s="7" t="s">
        <v>518</v>
      </c>
      <c r="C2" s="8" t="s">
        <v>145</v>
      </c>
      <c r="D2" s="8" t="s">
        <v>41</v>
      </c>
      <c r="E2" s="8" t="s">
        <v>79</v>
      </c>
      <c r="F2" s="8" t="s">
        <v>136</v>
      </c>
      <c r="G2" s="8" t="s">
        <v>276</v>
      </c>
      <c r="H2" s="8" t="n">
        <v>6</v>
      </c>
      <c r="I2" s="10" t="n">
        <f aca="false">COUNTIF(Placement!C$2:C$39,"●")</f>
        <v>9</v>
      </c>
      <c r="J2" s="7" t="n">
        <f aca="false">SUMPRODUCT(--ISNUMBER(SEARCH(","&amp;A2&amp;",",","&amp;SUBSTITUTE(FAQs!$G$2:$G$39," ","")&amp;",")))</f>
        <v>1</v>
      </c>
      <c r="K2" s="7" t="n">
        <f aca="false">MAX(J2,MIN(H2,I2))</f>
        <v>6</v>
      </c>
      <c r="L2" s="10" t="n">
        <f aca="false">I2-K2</f>
        <v>3</v>
      </c>
      <c r="M2" s="7" t="s">
        <v>519</v>
      </c>
    </row>
    <row r="3" customFormat="false" ht="15" hidden="false" customHeight="false" outlineLevel="0" collapsed="false">
      <c r="A3" s="7" t="s">
        <v>144</v>
      </c>
      <c r="B3" s="7" t="s">
        <v>520</v>
      </c>
      <c r="C3" s="8" t="s">
        <v>145</v>
      </c>
      <c r="D3" s="8" t="s">
        <v>144</v>
      </c>
      <c r="E3" s="8" t="s">
        <v>119</v>
      </c>
      <c r="F3" s="8"/>
      <c r="G3" s="8"/>
      <c r="H3" s="8" t="n">
        <v>6</v>
      </c>
      <c r="I3" s="10" t="n">
        <f aca="false">COUNTIF(Placement!D$2:D$39,"●")</f>
        <v>8</v>
      </c>
      <c r="J3" s="7" t="n">
        <f aca="false">SUMPRODUCT(--ISNUMBER(SEARCH(","&amp;A3&amp;",",","&amp;SUBSTITUTE(FAQs!$G$2:$G$39," ","")&amp;",")))</f>
        <v>0</v>
      </c>
      <c r="K3" s="7" t="n">
        <f aca="false">MAX(J3,MIN(H3,I3))</f>
        <v>6</v>
      </c>
      <c r="L3" s="10" t="n">
        <f aca="false">I3-K3</f>
        <v>2</v>
      </c>
      <c r="M3" s="7"/>
    </row>
    <row r="4" customFormat="false" ht="23.85" hidden="false" customHeight="false" outlineLevel="0" collapsed="false">
      <c r="A4" s="7" t="s">
        <v>521</v>
      </c>
      <c r="B4" s="7" t="s">
        <v>522</v>
      </c>
      <c r="C4" s="8" t="s">
        <v>145</v>
      </c>
      <c r="D4" s="8" t="s">
        <v>144</v>
      </c>
      <c r="E4" s="8" t="s">
        <v>119</v>
      </c>
      <c r="F4" s="8"/>
      <c r="G4" s="8"/>
      <c r="H4" s="8" t="n">
        <v>5</v>
      </c>
      <c r="I4" s="10" t="n">
        <f aca="false">COUNTIF(Placement!E$2:E$39,"●")</f>
        <v>8</v>
      </c>
      <c r="J4" s="7" t="n">
        <f aca="false">SUMPRODUCT(--ISNUMBER(SEARCH(","&amp;A4&amp;",",","&amp;SUBSTITUTE(FAQs!$G$2:$G$39," ","")&amp;",")))</f>
        <v>0</v>
      </c>
      <c r="K4" s="7" t="n">
        <f aca="false">MAX(J4,MIN(H4,I4))</f>
        <v>5</v>
      </c>
      <c r="L4" s="10" t="n">
        <f aca="false">I4-K4</f>
        <v>3</v>
      </c>
      <c r="M4" s="7" t="s">
        <v>523</v>
      </c>
    </row>
    <row r="5" customFormat="false" ht="15" hidden="false" customHeight="false" outlineLevel="0" collapsed="false">
      <c r="A5" s="7" t="s">
        <v>301</v>
      </c>
      <c r="B5" s="7" t="s">
        <v>524</v>
      </c>
      <c r="C5" s="8" t="s">
        <v>145</v>
      </c>
      <c r="D5" s="8" t="s">
        <v>301</v>
      </c>
      <c r="E5" s="8" t="s">
        <v>187</v>
      </c>
      <c r="F5" s="8"/>
      <c r="G5" s="8"/>
      <c r="H5" s="8" t="n">
        <v>5</v>
      </c>
      <c r="I5" s="10" t="n">
        <f aca="false">COUNTIF(Placement!F$2:F$39,"●")</f>
        <v>5</v>
      </c>
      <c r="J5" s="7" t="n">
        <f aca="false">SUMPRODUCT(--ISNUMBER(SEARCH(","&amp;A5&amp;",",","&amp;SUBSTITUTE(FAQs!$G$2:$G$39," ","")&amp;",")))</f>
        <v>2</v>
      </c>
      <c r="K5" s="7" t="n">
        <f aca="false">MAX(J5,MIN(H5,I5))</f>
        <v>5</v>
      </c>
      <c r="L5" s="10" t="n">
        <f aca="false">I5-K5</f>
        <v>0</v>
      </c>
      <c r="M5" s="7" t="s">
        <v>525</v>
      </c>
    </row>
    <row r="6" customFormat="false" ht="15" hidden="false" customHeight="false" outlineLevel="0" collapsed="false">
      <c r="A6" s="7" t="s">
        <v>526</v>
      </c>
      <c r="B6" s="7" t="s">
        <v>527</v>
      </c>
      <c r="C6" s="8" t="s">
        <v>145</v>
      </c>
      <c r="D6" s="8" t="s">
        <v>231</v>
      </c>
      <c r="E6" s="8" t="s">
        <v>254</v>
      </c>
      <c r="F6" s="8" t="s">
        <v>202</v>
      </c>
      <c r="G6" s="8" t="s">
        <v>262</v>
      </c>
      <c r="H6" s="8" t="n">
        <v>8</v>
      </c>
      <c r="I6" s="10" t="n">
        <f aca="false">COUNTIF(Placement!G$2:G$39,"●")</f>
        <v>7</v>
      </c>
      <c r="J6" s="7" t="n">
        <f aca="false">SUMPRODUCT(--ISNUMBER(SEARCH(","&amp;A6&amp;",",","&amp;SUBSTITUTE(FAQs!$G$2:$G$39," ","")&amp;",")))</f>
        <v>0</v>
      </c>
      <c r="K6" s="7" t="n">
        <f aca="false">MAX(J6,MIN(H6,I6))</f>
        <v>7</v>
      </c>
      <c r="L6" s="10" t="n">
        <f aca="false">I6-K6</f>
        <v>0</v>
      </c>
      <c r="M6" s="7" t="s">
        <v>528</v>
      </c>
    </row>
    <row r="7" customFormat="false" ht="15" hidden="false" customHeight="false" outlineLevel="0" collapsed="false">
      <c r="A7" s="7" t="s">
        <v>187</v>
      </c>
      <c r="B7" s="7" t="s">
        <v>529</v>
      </c>
      <c r="C7" s="8" t="s">
        <v>145</v>
      </c>
      <c r="D7" s="8" t="s">
        <v>187</v>
      </c>
      <c r="E7" s="8"/>
      <c r="F7" s="8"/>
      <c r="G7" s="8"/>
      <c r="H7" s="8" t="n">
        <v>5</v>
      </c>
      <c r="I7" s="10" t="n">
        <f aca="false">COUNTIF(Placement!H$2:H$39,"●")</f>
        <v>2</v>
      </c>
      <c r="J7" s="7" t="n">
        <f aca="false">SUMPRODUCT(--ISNUMBER(SEARCH(","&amp;A7&amp;",",","&amp;SUBSTITUTE(FAQs!$G$2:$G$39," ","")&amp;",")))</f>
        <v>1</v>
      </c>
      <c r="K7" s="7" t="n">
        <f aca="false">MAX(J7,MIN(H7,I7))</f>
        <v>2</v>
      </c>
      <c r="L7" s="10" t="n">
        <f aca="false">I7-K7</f>
        <v>0</v>
      </c>
      <c r="M7" s="7"/>
    </row>
    <row r="8" customFormat="false" ht="15" hidden="false" customHeight="false" outlineLevel="0" collapsed="false">
      <c r="A8" s="7" t="s">
        <v>530</v>
      </c>
      <c r="B8" s="7" t="s">
        <v>531</v>
      </c>
      <c r="C8" s="8" t="s">
        <v>145</v>
      </c>
      <c r="D8" s="8" t="s">
        <v>284</v>
      </c>
      <c r="E8" s="8"/>
      <c r="F8" s="8"/>
      <c r="G8" s="8"/>
      <c r="H8" s="8" t="n">
        <v>5</v>
      </c>
      <c r="I8" s="10" t="n">
        <f aca="false">COUNTIF(Placement!I$2:I$39,"●")</f>
        <v>1</v>
      </c>
      <c r="J8" s="7" t="n">
        <f aca="false">SUMPRODUCT(--ISNUMBER(SEARCH(","&amp;A8&amp;",",","&amp;SUBSTITUTE(FAQs!$G$2:$G$39," ","")&amp;",")))</f>
        <v>0</v>
      </c>
      <c r="K8" s="7" t="n">
        <f aca="false">MAX(J8,MIN(H8,I8))</f>
        <v>1</v>
      </c>
      <c r="L8" s="10" t="n">
        <f aca="false">I8-K8</f>
        <v>0</v>
      </c>
      <c r="M8" s="7"/>
    </row>
    <row r="9" customFormat="false" ht="15" hidden="false" customHeight="false" outlineLevel="0" collapsed="false">
      <c r="A9" s="7" t="s">
        <v>293</v>
      </c>
      <c r="B9" s="7" t="s">
        <v>532</v>
      </c>
      <c r="C9" s="8" t="s">
        <v>145</v>
      </c>
      <c r="D9" s="8" t="s">
        <v>293</v>
      </c>
      <c r="E9" s="8" t="s">
        <v>292</v>
      </c>
      <c r="F9" s="8"/>
      <c r="G9" s="8"/>
      <c r="H9" s="8" t="n">
        <v>8</v>
      </c>
      <c r="I9" s="10" t="n">
        <f aca="false">COUNTIF(Placement!J$2:J$39,"●")</f>
        <v>3</v>
      </c>
      <c r="J9" s="7" t="n">
        <f aca="false">SUMPRODUCT(--ISNUMBER(SEARCH(","&amp;A9&amp;",",","&amp;SUBSTITUTE(FAQs!$G$2:$G$39," ","")&amp;",")))</f>
        <v>0</v>
      </c>
      <c r="K9" s="7" t="n">
        <f aca="false">MAX(J9,MIN(H9,I9))</f>
        <v>3</v>
      </c>
      <c r="L9" s="10" t="n">
        <f aca="false">I9-K9</f>
        <v>0</v>
      </c>
      <c r="M9" s="7"/>
    </row>
    <row r="10" customFormat="false" ht="15" hidden="false" customHeight="false" outlineLevel="0" collapsed="false">
      <c r="A10" s="7" t="s">
        <v>533</v>
      </c>
      <c r="B10" s="7" t="s">
        <v>534</v>
      </c>
      <c r="C10" s="8" t="s">
        <v>145</v>
      </c>
      <c r="D10" s="8" t="s">
        <v>535</v>
      </c>
      <c r="E10" s="8"/>
      <c r="F10" s="8"/>
      <c r="G10" s="8"/>
      <c r="H10" s="8" t="n">
        <v>99</v>
      </c>
      <c r="I10" s="10" t="n">
        <f aca="false">COUNTIF(Placement!K$2:K$39,"●")</f>
        <v>30</v>
      </c>
      <c r="J10" s="7" t="n">
        <f aca="false">SUMPRODUCT(--ISNUMBER(SEARCH(","&amp;A10&amp;",",","&amp;SUBSTITUTE(FAQs!$G$2:$G$39," ","")&amp;",")))</f>
        <v>0</v>
      </c>
      <c r="K10" s="7" t="n">
        <f aca="false">MAX(J10,MIN(H10,I10))</f>
        <v>30</v>
      </c>
      <c r="L10" s="10" t="n">
        <f aca="false">I10-K10</f>
        <v>0</v>
      </c>
      <c r="M10" s="7" t="s">
        <v>536</v>
      </c>
    </row>
    <row r="11" customFormat="false" ht="15" hidden="false" customHeight="false" outlineLevel="0" collapsed="false">
      <c r="A11" s="7" t="s">
        <v>232</v>
      </c>
      <c r="B11" s="7" t="s">
        <v>537</v>
      </c>
      <c r="C11" s="8" t="s">
        <v>72</v>
      </c>
      <c r="D11" s="8" t="s">
        <v>41</v>
      </c>
      <c r="E11" s="8" t="s">
        <v>127</v>
      </c>
      <c r="F11" s="8" t="s">
        <v>97</v>
      </c>
      <c r="G11" s="8" t="s">
        <v>202</v>
      </c>
      <c r="H11" s="8" t="n">
        <v>6</v>
      </c>
      <c r="I11" s="10" t="n">
        <f aca="false">COUNTIF(Placement!L$2:L$39,"●")</f>
        <v>15</v>
      </c>
      <c r="J11" s="7" t="n">
        <f aca="false">SUMPRODUCT(--ISNUMBER(SEARCH(","&amp;A11&amp;",",","&amp;SUBSTITUTE(FAQs!$G$2:$G$39," ","")&amp;",")))</f>
        <v>2</v>
      </c>
      <c r="K11" s="7" t="n">
        <f aca="false">MAX(J11,MIN(H11,I11))</f>
        <v>6</v>
      </c>
      <c r="L11" s="10" t="n">
        <f aca="false">I11-K11</f>
        <v>9</v>
      </c>
      <c r="M11" s="7" t="s">
        <v>538</v>
      </c>
    </row>
    <row r="12" customFormat="false" ht="15" hidden="false" customHeight="false" outlineLevel="0" collapsed="false">
      <c r="A12" s="7" t="s">
        <v>539</v>
      </c>
      <c r="B12" s="7" t="s">
        <v>540</v>
      </c>
      <c r="C12" s="8" t="s">
        <v>72</v>
      </c>
      <c r="D12" s="8" t="s">
        <v>97</v>
      </c>
      <c r="E12" s="8" t="s">
        <v>98</v>
      </c>
      <c r="F12" s="8"/>
      <c r="G12" s="8"/>
      <c r="H12" s="8" t="n">
        <v>6</v>
      </c>
      <c r="I12" s="10" t="n">
        <f aca="false">COUNTIF(Placement!M$2:M$39,"●")</f>
        <v>4</v>
      </c>
      <c r="J12" s="7" t="n">
        <f aca="false">SUMPRODUCT(--ISNUMBER(SEARCH(","&amp;A12&amp;",",","&amp;SUBSTITUTE(FAQs!$G$2:$G$39," ","")&amp;",")))</f>
        <v>0</v>
      </c>
      <c r="K12" s="7" t="n">
        <f aca="false">MAX(J12,MIN(H12,I12))</f>
        <v>4</v>
      </c>
      <c r="L12" s="10" t="n">
        <f aca="false">I12-K12</f>
        <v>0</v>
      </c>
      <c r="M12" s="7"/>
    </row>
    <row r="13" customFormat="false" ht="15" hidden="false" customHeight="false" outlineLevel="0" collapsed="false">
      <c r="A13" s="7" t="s">
        <v>541</v>
      </c>
      <c r="B13" s="7" t="s">
        <v>542</v>
      </c>
      <c r="C13" s="8" t="s">
        <v>72</v>
      </c>
      <c r="D13" s="8" t="s">
        <v>80</v>
      </c>
      <c r="E13" s="8" t="s">
        <v>262</v>
      </c>
      <c r="F13" s="8" t="s">
        <v>79</v>
      </c>
      <c r="G13" s="8"/>
      <c r="H13" s="8" t="n">
        <v>6</v>
      </c>
      <c r="I13" s="10" t="n">
        <f aca="false">COUNTIF(Placement!N$2:N$39,"●")</f>
        <v>4</v>
      </c>
      <c r="J13" s="7" t="n">
        <f aca="false">SUMPRODUCT(--ISNUMBER(SEARCH(","&amp;A13&amp;",",","&amp;SUBSTITUTE(FAQs!$G$2:$G$39," ","")&amp;",")))</f>
        <v>0</v>
      </c>
      <c r="K13" s="7" t="n">
        <f aca="false">MAX(J13,MIN(H13,I13))</f>
        <v>4</v>
      </c>
      <c r="L13" s="10" t="n">
        <f aca="false">I13-K13</f>
        <v>0</v>
      </c>
      <c r="M13" s="7"/>
    </row>
    <row r="14" customFormat="false" ht="15" hidden="false" customHeight="false" outlineLevel="0" collapsed="false">
      <c r="A14" s="7" t="s">
        <v>543</v>
      </c>
      <c r="B14" s="7" t="s">
        <v>544</v>
      </c>
      <c r="C14" s="8" t="s">
        <v>72</v>
      </c>
      <c r="D14" s="8" t="s">
        <v>535</v>
      </c>
      <c r="E14" s="8"/>
      <c r="F14" s="8"/>
      <c r="G14" s="8"/>
      <c r="H14" s="8" t="n">
        <v>99</v>
      </c>
      <c r="I14" s="10" t="n">
        <f aca="false">COUNTIF(Placement!O$2:O$39,"●")</f>
        <v>33</v>
      </c>
      <c r="J14" s="7" t="n">
        <f aca="false">SUMPRODUCT(--ISNUMBER(SEARCH(","&amp;A14&amp;",",","&amp;SUBSTITUTE(FAQs!$G$2:$G$39," ","")&amp;",")))</f>
        <v>0</v>
      </c>
      <c r="K14" s="7" t="n">
        <f aca="false">MAX(J14,MIN(H14,I14))</f>
        <v>33</v>
      </c>
      <c r="L14" s="10" t="n">
        <f aca="false">I14-K14</f>
        <v>0</v>
      </c>
      <c r="M14" s="7" t="s">
        <v>545</v>
      </c>
    </row>
    <row r="15" customFormat="false" ht="15" hidden="false" customHeight="false" outlineLevel="0" collapsed="false">
      <c r="A15" s="7" t="s">
        <v>546</v>
      </c>
      <c r="B15" s="7" t="s">
        <v>547</v>
      </c>
      <c r="C15" s="8" t="s">
        <v>145</v>
      </c>
      <c r="D15" s="8" t="s">
        <v>41</v>
      </c>
      <c r="E15" s="8"/>
      <c r="F15" s="8"/>
      <c r="G15" s="8"/>
      <c r="H15" s="8" t="n">
        <v>8</v>
      </c>
      <c r="I15" s="10" t="n">
        <f aca="false">COUNTIF(Placement!P$2:P$39,"●")</f>
        <v>4</v>
      </c>
      <c r="J15" s="7" t="n">
        <f aca="false">SUMPRODUCT(--ISNUMBER(SEARCH(","&amp;A15&amp;",",","&amp;SUBSTITUTE(FAQs!$G$2:$G$39," ","")&amp;",")))</f>
        <v>0</v>
      </c>
      <c r="K15" s="7" t="n">
        <f aca="false">MAX(J15,MIN(H15,I15))</f>
        <v>4</v>
      </c>
      <c r="L15" s="10" t="n">
        <f aca="false">I15-K15</f>
        <v>0</v>
      </c>
      <c r="M15" s="7"/>
    </row>
    <row r="16" customFormat="false" ht="15" hidden="false" customHeight="false" outlineLevel="0" collapsed="false">
      <c r="A16" s="7" t="s">
        <v>548</v>
      </c>
      <c r="B16" s="7" t="s">
        <v>549</v>
      </c>
      <c r="C16" s="8" t="s">
        <v>145</v>
      </c>
      <c r="D16" s="8" t="s">
        <v>389</v>
      </c>
      <c r="E16" s="8"/>
      <c r="F16" s="8"/>
      <c r="G16" s="8"/>
      <c r="H16" s="8" t="n">
        <v>8</v>
      </c>
      <c r="I16" s="10" t="n">
        <f aca="false">COUNTIF(Placement!Q$2:Q$39,"●")</f>
        <v>0</v>
      </c>
      <c r="J16" s="7" t="n">
        <f aca="false">SUMPRODUCT(--ISNUMBER(SEARCH(","&amp;A16&amp;",",","&amp;SUBSTITUTE(FAQs!$G$2:$G$39," ","")&amp;",")))</f>
        <v>0</v>
      </c>
      <c r="K16" s="7" t="n">
        <f aca="false">MAX(J16,MIN(H16,I16))</f>
        <v>0</v>
      </c>
      <c r="L16" s="10" t="n">
        <f aca="false">I16-K16</f>
        <v>0</v>
      </c>
      <c r="M16" s="7" t="s">
        <v>550</v>
      </c>
    </row>
    <row r="17" customFormat="false" ht="15" hidden="false" customHeight="false" outlineLevel="0" collapsed="false">
      <c r="A17" s="7" t="s">
        <v>551</v>
      </c>
      <c r="B17" s="7" t="s">
        <v>552</v>
      </c>
      <c r="C17" s="8" t="s">
        <v>145</v>
      </c>
      <c r="D17" s="8" t="s">
        <v>136</v>
      </c>
      <c r="E17" s="8"/>
      <c r="F17" s="8"/>
      <c r="G17" s="8"/>
      <c r="H17" s="8" t="n">
        <v>8</v>
      </c>
      <c r="I17" s="10" t="n">
        <f aca="false">COUNTIF(Placement!R$2:R$39,"●")</f>
        <v>1</v>
      </c>
      <c r="J17" s="7" t="n">
        <f aca="false">SUMPRODUCT(--ISNUMBER(SEARCH(","&amp;A17&amp;",",","&amp;SUBSTITUTE(FAQs!$G$2:$G$39," ","")&amp;",")))</f>
        <v>0</v>
      </c>
      <c r="K17" s="7" t="n">
        <f aca="false">MAX(J17,MIN(H17,I17))</f>
        <v>1</v>
      </c>
      <c r="L17" s="10" t="n">
        <f aca="false">I17-K17</f>
        <v>0</v>
      </c>
      <c r="M17" s="7"/>
    </row>
    <row r="18" customFormat="false" ht="15" hidden="false" customHeight="false" outlineLevel="0" collapsed="false">
      <c r="A18" s="7" t="s">
        <v>64</v>
      </c>
      <c r="B18" s="7" t="s">
        <v>553</v>
      </c>
      <c r="C18" s="8" t="s">
        <v>145</v>
      </c>
      <c r="D18" s="8"/>
      <c r="E18" s="8"/>
      <c r="F18" s="8"/>
      <c r="G18" s="8"/>
      <c r="H18" s="8" t="n">
        <v>8</v>
      </c>
      <c r="I18" s="10" t="n">
        <f aca="false">COUNTIF(Placement!S$2:S$39,"●")</f>
        <v>4</v>
      </c>
      <c r="J18" s="7" t="n">
        <f aca="false">SUMPRODUCT(--ISNUMBER(SEARCH(","&amp;A18&amp;",",","&amp;SUBSTITUTE(FAQs!$G$2:$G$39," ","")&amp;",")))</f>
        <v>4</v>
      </c>
      <c r="K18" s="7" t="n">
        <f aca="false">MAX(J18,MIN(H18,I18))</f>
        <v>4</v>
      </c>
      <c r="L18" s="10" t="n">
        <f aca="false">I18-K18</f>
        <v>0</v>
      </c>
      <c r="M18" s="7" t="s">
        <v>554</v>
      </c>
    </row>
    <row r="19" customFormat="false" ht="15" hidden="false" customHeight="false" outlineLevel="0" collapsed="false">
      <c r="A19" s="7" t="s">
        <v>555</v>
      </c>
      <c r="B19" s="7" t="s">
        <v>556</v>
      </c>
      <c r="C19" s="8" t="s">
        <v>145</v>
      </c>
      <c r="D19" s="8" t="s">
        <v>276</v>
      </c>
      <c r="E19" s="8"/>
      <c r="F19" s="8"/>
      <c r="G19" s="8"/>
      <c r="H19" s="8" t="n">
        <v>8</v>
      </c>
      <c r="I19" s="10" t="n">
        <f aca="false">COUNTIF(Placement!T$2:T$39,"●")</f>
        <v>2</v>
      </c>
      <c r="J19" s="7" t="n">
        <f aca="false">SUMPRODUCT(--ISNUMBER(SEARCH(","&amp;A19&amp;",",","&amp;SUBSTITUTE(FAQs!$G$2:$G$39," ","")&amp;",")))</f>
        <v>0</v>
      </c>
      <c r="K19" s="7" t="n">
        <f aca="false">MAX(J19,MIN(H19,I19))</f>
        <v>2</v>
      </c>
      <c r="L19" s="10" t="n">
        <f aca="false">I19-K19</f>
        <v>0</v>
      </c>
      <c r="M19" s="7"/>
    </row>
  </sheetData>
  <conditionalFormatting sqref="I2:I19">
    <cfRule type="cellIs" priority="2" operator="equal" aboveAverage="0" equalAverage="0" bottom="0" percent="0" rank="0" text="" dxfId="8">
      <formula>0</formula>
    </cfRule>
  </conditionalFormatting>
  <conditionalFormatting sqref="L2:L19">
    <cfRule type="cellIs" priority="3" operator="greaterThan" aboveAverage="0" equalAverage="0" bottom="0" percent="0" rank="0" text="" dxfId="8">
      <formula>0</formula>
    </cfRule>
  </conditionalFormatting>
  <dataValidations count="1">
    <dataValidation allowBlank="false" errorStyle="stop" operator="between" showDropDown="false" showErrorMessage="false" showInputMessage="false" sqref="C2:C19" type="list">
      <formula1>"prospect,guest,both"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20" min="3" style="0" width="11"/>
    <col collapsed="false" customWidth="true" hidden="false" outlineLevel="0" max="21" min="21" style="0" width="9"/>
  </cols>
  <sheetData>
    <row r="1" customFormat="false" ht="42" hidden="false" customHeight="true" outlineLevel="0" collapsed="false">
      <c r="A1" s="6" t="s">
        <v>557</v>
      </c>
      <c r="B1" s="6" t="s">
        <v>33</v>
      </c>
      <c r="C1" s="11" t="str">
        <f aca="false">Routes!A2</f>
        <v>home</v>
      </c>
      <c r="D1" s="11" t="str">
        <f aca="false">Routes!A3</f>
        <v>rooms</v>
      </c>
      <c r="E1" s="11" t="str">
        <f aca="false">Routes!A4</f>
        <v>room-detail</v>
      </c>
      <c r="F1" s="11" t="str">
        <f aca="false">Routes!A5</f>
        <v>meetings</v>
      </c>
      <c r="G1" s="11" t="str">
        <f aca="false">Routes!A6</f>
        <v>amenities</v>
      </c>
      <c r="H1" s="11" t="str">
        <f aca="false">Routes!A7</f>
        <v>sustainability</v>
      </c>
      <c r="I1" s="11" t="str">
        <f aca="false">Routes!A8</f>
        <v>offers</v>
      </c>
      <c r="J1" s="11" t="str">
        <f aca="false">Routes!A9</f>
        <v>contact</v>
      </c>
      <c r="K1" s="11" t="str">
        <f aca="false">Routes!A10</f>
        <v>faq</v>
      </c>
      <c r="L1" s="11" t="str">
        <f aca="false">Routes!A11</f>
        <v>here</v>
      </c>
      <c r="M1" s="11" t="str">
        <f aca="false">Routes!A12</f>
        <v>here-dining</v>
      </c>
      <c r="N1" s="11" t="str">
        <f aca="false">Routes!A13</f>
        <v>here-getting-around</v>
      </c>
      <c r="O1" s="11" t="str">
        <f aca="false">Routes!A14</f>
        <v>here-faq</v>
      </c>
      <c r="P1" s="11" t="str">
        <f aca="false">Routes!A15</f>
        <v>policy-checkin</v>
      </c>
      <c r="Q1" s="11" t="str">
        <f aca="false">Routes!A16</f>
        <v>policy-cancellation</v>
      </c>
      <c r="R1" s="11" t="str">
        <f aca="false">Routes!A17</f>
        <v>policy-pets</v>
      </c>
      <c r="S1" s="11" t="str">
        <f aca="false">Routes!A18</f>
        <v>policy-fees</v>
      </c>
      <c r="T1" s="11" t="str">
        <f aca="false">Routes!A19</f>
        <v>policy-payment</v>
      </c>
      <c r="U1" s="6" t="s">
        <v>558</v>
      </c>
    </row>
    <row r="2" customFormat="false" ht="15" hidden="false" customHeight="false" outlineLevel="0" collapsed="false">
      <c r="A2" s="9" t="str">
        <f aca="false">FAQs!A2</f>
        <v>F01</v>
      </c>
      <c r="B2" s="9" t="str">
        <f aca="false">FAQs!H2</f>
        <v>What time can I check in, and what if I arrive late?</v>
      </c>
      <c r="C2" s="12" t="str">
        <f aca="false">IF(OR(ISNUMBER(SEARCH(","&amp;C$1&amp;",",","&amp;SUBSTITUTE(FAQs!$G2," ","")&amp;",")),AND(OR(FAQs!$E2="both",Routes!$C$2="both",FAQs!$E2=Routes!$C$2),OR(Routes!$D$2="ALL",COUNTIF(Routes!$D$2:$G$2,FAQs!$C2)&gt;0,AND(FAQs!$D2&lt;&gt;"",COUNTIF(Routes!$D$2:$G$2,FAQs!$D2)&gt;0)))),"●","")</f>
        <v>●</v>
      </c>
      <c r="D2" s="12" t="str">
        <f aca="false">IF(OR(ISNUMBER(SEARCH(","&amp;D$1&amp;",",","&amp;SUBSTITUTE(FAQs!$G2," ","")&amp;",")),AND(OR(FAQs!$E2="both",Routes!$C$3="both",FAQs!$E2=Routes!$C$3),OR(Routes!$D$3="ALL",COUNTIF(Routes!$D$3:$G$3,FAQs!$C2)&gt;0,AND(FAQs!$D2&lt;&gt;"",COUNTIF(Routes!$D$3:$G$3,FAQs!$D2)&gt;0)))),"●","")</f>
        <v/>
      </c>
      <c r="E2" s="12" t="str">
        <f aca="false">IF(OR(ISNUMBER(SEARCH(","&amp;E$1&amp;",",","&amp;SUBSTITUTE(FAQs!$G2," ","")&amp;",")),AND(OR(FAQs!$E2="both",Routes!$C$4="both",FAQs!$E2=Routes!$C$4),OR(Routes!$D$4="ALL",COUNTIF(Routes!$D$4:$G$4,FAQs!$C2)&gt;0,AND(FAQs!$D2&lt;&gt;"",COUNTIF(Routes!$D$4:$G$4,FAQs!$D2)&gt;0)))),"●","")</f>
        <v/>
      </c>
      <c r="F2" s="12" t="str">
        <f aca="false">IF(OR(ISNUMBER(SEARCH(","&amp;F$1&amp;",",","&amp;SUBSTITUTE(FAQs!$G2," ","")&amp;",")),AND(OR(FAQs!$E2="both",Routes!$C$5="both",FAQs!$E2=Routes!$C$5),OR(Routes!$D$5="ALL",COUNTIF(Routes!$D$5:$G$5,FAQs!$C2)&gt;0,AND(FAQs!$D2&lt;&gt;"",COUNTIF(Routes!$D$5:$G$5,FAQs!$D2)&gt;0)))),"●","")</f>
        <v/>
      </c>
      <c r="G2" s="12" t="str">
        <f aca="false">IF(OR(ISNUMBER(SEARCH(","&amp;G$1&amp;",",","&amp;SUBSTITUTE(FAQs!$G2," ","")&amp;",")),AND(OR(FAQs!$E2="both",Routes!$C$6="both",FAQs!$E2=Routes!$C$6),OR(Routes!$D$6="ALL",COUNTIF(Routes!$D$6:$G$6,FAQs!$C2)&gt;0,AND(FAQs!$D2&lt;&gt;"",COUNTIF(Routes!$D$6:$G$6,FAQs!$D2)&gt;0)))),"●","")</f>
        <v/>
      </c>
      <c r="H2" s="12" t="str">
        <f aca="false">IF(OR(ISNUMBER(SEARCH(","&amp;H$1&amp;",",","&amp;SUBSTITUTE(FAQs!$G2," ","")&amp;",")),AND(OR(FAQs!$E2="both",Routes!$C$7="both",FAQs!$E2=Routes!$C$7),OR(Routes!$D$7="ALL",COUNTIF(Routes!$D$7:$G$7,FAQs!$C2)&gt;0,AND(FAQs!$D2&lt;&gt;"",COUNTIF(Routes!$D$7:$G$7,FAQs!$D2)&gt;0)))),"●","")</f>
        <v/>
      </c>
      <c r="I2" s="12" t="str">
        <f aca="false">IF(OR(ISNUMBER(SEARCH(","&amp;I$1&amp;",",","&amp;SUBSTITUTE(FAQs!$G2," ","")&amp;",")),AND(OR(FAQs!$E2="both",Routes!$C$8="both",FAQs!$E2=Routes!$C$8),OR(Routes!$D$8="ALL",COUNTIF(Routes!$D$8:$G$8,FAQs!$C2)&gt;0,AND(FAQs!$D2&lt;&gt;"",COUNTIF(Routes!$D$8:$G$8,FAQs!$D2)&gt;0)))),"●","")</f>
        <v/>
      </c>
      <c r="J2" s="12" t="str">
        <f aca="false">IF(OR(ISNUMBER(SEARCH(","&amp;J$1&amp;",",","&amp;SUBSTITUTE(FAQs!$G2," ","")&amp;",")),AND(OR(FAQs!$E2="both",Routes!$C$9="both",FAQs!$E2=Routes!$C$9),OR(Routes!$D$9="ALL",COUNTIF(Routes!$D$9:$G$9,FAQs!$C2)&gt;0,AND(FAQs!$D2&lt;&gt;"",COUNTIF(Routes!$D$9:$G$9,FAQs!$D2)&gt;0)))),"●","")</f>
        <v/>
      </c>
      <c r="K2" s="12" t="str">
        <f aca="false">IF(OR(ISNUMBER(SEARCH(","&amp;K$1&amp;",",","&amp;SUBSTITUTE(FAQs!$G2," ","")&amp;",")),AND(OR(FAQs!$E2="both",Routes!$C$10="both",FAQs!$E2=Routes!$C$10),OR(Routes!$D$10="ALL",COUNTIF(Routes!$D$10:$G$10,FAQs!$C2)&gt;0,AND(FAQs!$D2&lt;&gt;"",COUNTIF(Routes!$D$10:$G$10,FAQs!$D2)&gt;0)))),"●","")</f>
        <v>●</v>
      </c>
      <c r="L2" s="12" t="str">
        <f aca="false">IF(OR(ISNUMBER(SEARCH(","&amp;L$1&amp;",",","&amp;SUBSTITUTE(FAQs!$G2," ","")&amp;",")),AND(OR(FAQs!$E2="both",Routes!$C$11="both",FAQs!$E2=Routes!$C$11),OR(Routes!$D$11="ALL",COUNTIF(Routes!$D$11:$G$11,FAQs!$C2)&gt;0,AND(FAQs!$D2&lt;&gt;"",COUNTIF(Routes!$D$11:$G$11,FAQs!$D2)&gt;0)))),"●","")</f>
        <v>●</v>
      </c>
      <c r="M2" s="12" t="str">
        <f aca="false">IF(OR(ISNUMBER(SEARCH(","&amp;M$1&amp;",",","&amp;SUBSTITUTE(FAQs!$G2," ","")&amp;",")),AND(OR(FAQs!$E2="both",Routes!$C$12="both",FAQs!$E2=Routes!$C$12),OR(Routes!$D$12="ALL",COUNTIF(Routes!$D$12:$G$12,FAQs!$C2)&gt;0,AND(FAQs!$D2&lt;&gt;"",COUNTIF(Routes!$D$12:$G$12,FAQs!$D2)&gt;0)))),"●","")</f>
        <v/>
      </c>
      <c r="N2" s="12" t="str">
        <f aca="false">IF(OR(ISNUMBER(SEARCH(","&amp;N$1&amp;",",","&amp;SUBSTITUTE(FAQs!$G2," ","")&amp;",")),AND(OR(FAQs!$E2="both",Routes!$C$13="both",FAQs!$E2=Routes!$C$13),OR(Routes!$D$13="ALL",COUNTIF(Routes!$D$13:$G$13,FAQs!$C2)&gt;0,AND(FAQs!$D2&lt;&gt;"",COUNTIF(Routes!$D$13:$G$13,FAQs!$D2)&gt;0)))),"●","")</f>
        <v/>
      </c>
      <c r="O2" s="12" t="str">
        <f aca="false">IF(OR(ISNUMBER(SEARCH(","&amp;O$1&amp;",",","&amp;SUBSTITUTE(FAQs!$G2," ","")&amp;",")),AND(OR(FAQs!$E2="both",Routes!$C$14="both",FAQs!$E2=Routes!$C$14),OR(Routes!$D$14="ALL",COUNTIF(Routes!$D$14:$G$14,FAQs!$C2)&gt;0,AND(FAQs!$D2&lt;&gt;"",COUNTIF(Routes!$D$14:$G$14,FAQs!$D2)&gt;0)))),"●","")</f>
        <v>●</v>
      </c>
      <c r="P2" s="12" t="str">
        <f aca="false">IF(OR(ISNUMBER(SEARCH(","&amp;P$1&amp;",",","&amp;SUBSTITUTE(FAQs!$G2," ","")&amp;",")),AND(OR(FAQs!$E2="both",Routes!$C$15="both",FAQs!$E2=Routes!$C$15),OR(Routes!$D$15="ALL",COUNTIF(Routes!$D$15:$G$15,FAQs!$C2)&gt;0,AND(FAQs!$D2&lt;&gt;"",COUNTIF(Routes!$D$15:$G$15,FAQs!$D2)&gt;0)))),"●","")</f>
        <v>●</v>
      </c>
      <c r="Q2" s="12" t="str">
        <f aca="false">IF(OR(ISNUMBER(SEARCH(","&amp;Q$1&amp;",",","&amp;SUBSTITUTE(FAQs!$G2," ","")&amp;",")),AND(OR(FAQs!$E2="both",Routes!$C$16="both",FAQs!$E2=Routes!$C$16),OR(Routes!$D$16="ALL",COUNTIF(Routes!$D$16:$G$16,FAQs!$C2)&gt;0,AND(FAQs!$D2&lt;&gt;"",COUNTIF(Routes!$D$16:$G$16,FAQs!$D2)&gt;0)))),"●","")</f>
        <v/>
      </c>
      <c r="R2" s="12" t="str">
        <f aca="false">IF(OR(ISNUMBER(SEARCH(","&amp;R$1&amp;",",","&amp;SUBSTITUTE(FAQs!$G2," ","")&amp;",")),AND(OR(FAQs!$E2="both",Routes!$C$17="both",FAQs!$E2=Routes!$C$17),OR(Routes!$D$17="ALL",COUNTIF(Routes!$D$17:$G$17,FAQs!$C2)&gt;0,AND(FAQs!$D2&lt;&gt;"",COUNTIF(Routes!$D$17:$G$17,FAQs!$D2)&gt;0)))),"●","")</f>
        <v/>
      </c>
      <c r="S2" s="12" t="str">
        <f aca="false">IF(OR(ISNUMBER(SEARCH(","&amp;S$1&amp;",",","&amp;SUBSTITUTE(FAQs!$G2," ","")&amp;",")),AND(OR(FAQs!$E2="both",Routes!$C$18="both",FAQs!$E2=Routes!$C$18),OR(Routes!$D$18="ALL",COUNTIF(Routes!$D$18:$G$18,FAQs!$C2)&gt;0,AND(FAQs!$D2&lt;&gt;"",COUNTIF(Routes!$D$18:$G$18,FAQs!$D2)&gt;0)))),"●","")</f>
        <v/>
      </c>
      <c r="T2" s="12" t="str">
        <f aca="false">IF(OR(ISNUMBER(SEARCH(","&amp;T$1&amp;",",","&amp;SUBSTITUTE(FAQs!$G2," ","")&amp;",")),AND(OR(FAQs!$E2="both",Routes!$C$19="both",FAQs!$E2=Routes!$C$19),OR(Routes!$D$19="ALL",COUNTIF(Routes!$D$19:$G$19,FAQs!$C2)&gt;0,AND(FAQs!$D2&lt;&gt;"",COUNTIF(Routes!$D$19:$G$19,FAQs!$D2)&gt;0)))),"●","")</f>
        <v/>
      </c>
      <c r="U2" s="9" t="n">
        <f aca="false">COUNTIF(C2:T2,"●")</f>
        <v>5</v>
      </c>
    </row>
    <row r="3" customFormat="false" ht="15" hidden="false" customHeight="false" outlineLevel="0" collapsed="false">
      <c r="A3" s="9" t="str">
        <f aca="false">FAQs!A3</f>
        <v>F02</v>
      </c>
      <c r="B3" s="9" t="str">
        <f aca="false">FAQs!H3</f>
        <v>Can I check in online?</v>
      </c>
      <c r="C3" s="12" t="str">
        <f aca="false">IF(OR(ISNUMBER(SEARCH(","&amp;C$1&amp;",",","&amp;SUBSTITUTE(FAQs!$G3," ","")&amp;",")),AND(OR(FAQs!$E3="both",Routes!$C$2="both",FAQs!$E3=Routes!$C$2),OR(Routes!$D$2="ALL",COUNTIF(Routes!$D$2:$G$2,FAQs!$C3)&gt;0,AND(FAQs!$D3&lt;&gt;"",COUNTIF(Routes!$D$2:$G$2,FAQs!$D3)&gt;0)))),"●","")</f>
        <v>●</v>
      </c>
      <c r="D3" s="12" t="str">
        <f aca="false">IF(OR(ISNUMBER(SEARCH(","&amp;D$1&amp;",",","&amp;SUBSTITUTE(FAQs!$G3," ","")&amp;",")),AND(OR(FAQs!$E3="both",Routes!$C$3="both",FAQs!$E3=Routes!$C$3),OR(Routes!$D$3="ALL",COUNTIF(Routes!$D$3:$G$3,FAQs!$C3)&gt;0,AND(FAQs!$D3&lt;&gt;"",COUNTIF(Routes!$D$3:$G$3,FAQs!$D3)&gt;0)))),"●","")</f>
        <v/>
      </c>
      <c r="E3" s="12" t="str">
        <f aca="false">IF(OR(ISNUMBER(SEARCH(","&amp;E$1&amp;",",","&amp;SUBSTITUTE(FAQs!$G3," ","")&amp;",")),AND(OR(FAQs!$E3="both",Routes!$C$4="both",FAQs!$E3=Routes!$C$4),OR(Routes!$D$4="ALL",COUNTIF(Routes!$D$4:$G$4,FAQs!$C3)&gt;0,AND(FAQs!$D3&lt;&gt;"",COUNTIF(Routes!$D$4:$G$4,FAQs!$D3)&gt;0)))),"●","")</f>
        <v/>
      </c>
      <c r="F3" s="12" t="str">
        <f aca="false">IF(OR(ISNUMBER(SEARCH(","&amp;F$1&amp;",",","&amp;SUBSTITUTE(FAQs!$G3," ","")&amp;",")),AND(OR(FAQs!$E3="both",Routes!$C$5="both",FAQs!$E3=Routes!$C$5),OR(Routes!$D$5="ALL",COUNTIF(Routes!$D$5:$G$5,FAQs!$C3)&gt;0,AND(FAQs!$D3&lt;&gt;"",COUNTIF(Routes!$D$5:$G$5,FAQs!$D3)&gt;0)))),"●","")</f>
        <v/>
      </c>
      <c r="G3" s="12" t="str">
        <f aca="false">IF(OR(ISNUMBER(SEARCH(","&amp;G$1&amp;",",","&amp;SUBSTITUTE(FAQs!$G3," ","")&amp;",")),AND(OR(FAQs!$E3="both",Routes!$C$6="both",FAQs!$E3=Routes!$C$6),OR(Routes!$D$6="ALL",COUNTIF(Routes!$D$6:$G$6,FAQs!$C3)&gt;0,AND(FAQs!$D3&lt;&gt;"",COUNTIF(Routes!$D$6:$G$6,FAQs!$D3)&gt;0)))),"●","")</f>
        <v/>
      </c>
      <c r="H3" s="12" t="str">
        <f aca="false">IF(OR(ISNUMBER(SEARCH(","&amp;H$1&amp;",",","&amp;SUBSTITUTE(FAQs!$G3," ","")&amp;",")),AND(OR(FAQs!$E3="both",Routes!$C$7="both",FAQs!$E3=Routes!$C$7),OR(Routes!$D$7="ALL",COUNTIF(Routes!$D$7:$G$7,FAQs!$C3)&gt;0,AND(FAQs!$D3&lt;&gt;"",COUNTIF(Routes!$D$7:$G$7,FAQs!$D3)&gt;0)))),"●","")</f>
        <v/>
      </c>
      <c r="I3" s="12" t="str">
        <f aca="false">IF(OR(ISNUMBER(SEARCH(","&amp;I$1&amp;",",","&amp;SUBSTITUTE(FAQs!$G3," ","")&amp;",")),AND(OR(FAQs!$E3="both",Routes!$C$8="both",FAQs!$E3=Routes!$C$8),OR(Routes!$D$8="ALL",COUNTIF(Routes!$D$8:$G$8,FAQs!$C3)&gt;0,AND(FAQs!$D3&lt;&gt;"",COUNTIF(Routes!$D$8:$G$8,FAQs!$D3)&gt;0)))),"●","")</f>
        <v/>
      </c>
      <c r="J3" s="12" t="str">
        <f aca="false">IF(OR(ISNUMBER(SEARCH(","&amp;J$1&amp;",",","&amp;SUBSTITUTE(FAQs!$G3," ","")&amp;",")),AND(OR(FAQs!$E3="both",Routes!$C$9="both",FAQs!$E3=Routes!$C$9),OR(Routes!$D$9="ALL",COUNTIF(Routes!$D$9:$G$9,FAQs!$C3)&gt;0,AND(FAQs!$D3&lt;&gt;"",COUNTIF(Routes!$D$9:$G$9,FAQs!$D3)&gt;0)))),"●","")</f>
        <v/>
      </c>
      <c r="K3" s="12" t="str">
        <f aca="false">IF(OR(ISNUMBER(SEARCH(","&amp;K$1&amp;",",","&amp;SUBSTITUTE(FAQs!$G3," ","")&amp;",")),AND(OR(FAQs!$E3="both",Routes!$C$10="both",FAQs!$E3=Routes!$C$10),OR(Routes!$D$10="ALL",COUNTIF(Routes!$D$10:$G$10,FAQs!$C3)&gt;0,AND(FAQs!$D3&lt;&gt;"",COUNTIF(Routes!$D$10:$G$10,FAQs!$D3)&gt;0)))),"●","")</f>
        <v>●</v>
      </c>
      <c r="L3" s="12" t="str">
        <f aca="false">IF(OR(ISNUMBER(SEARCH(","&amp;L$1&amp;",",","&amp;SUBSTITUTE(FAQs!$G3," ","")&amp;",")),AND(OR(FAQs!$E3="both",Routes!$C$11="both",FAQs!$E3=Routes!$C$11),OR(Routes!$D$11="ALL",COUNTIF(Routes!$D$11:$G$11,FAQs!$C3)&gt;0,AND(FAQs!$D3&lt;&gt;"",COUNTIF(Routes!$D$11:$G$11,FAQs!$D3)&gt;0)))),"●","")</f>
        <v>●</v>
      </c>
      <c r="M3" s="12" t="str">
        <f aca="false">IF(OR(ISNUMBER(SEARCH(","&amp;M$1&amp;",",","&amp;SUBSTITUTE(FAQs!$G3," ","")&amp;",")),AND(OR(FAQs!$E3="both",Routes!$C$12="both",FAQs!$E3=Routes!$C$12),OR(Routes!$D$12="ALL",COUNTIF(Routes!$D$12:$G$12,FAQs!$C3)&gt;0,AND(FAQs!$D3&lt;&gt;"",COUNTIF(Routes!$D$12:$G$12,FAQs!$D3)&gt;0)))),"●","")</f>
        <v/>
      </c>
      <c r="N3" s="12" t="str">
        <f aca="false">IF(OR(ISNUMBER(SEARCH(","&amp;N$1&amp;",",","&amp;SUBSTITUTE(FAQs!$G3," ","")&amp;",")),AND(OR(FAQs!$E3="both",Routes!$C$13="both",FAQs!$E3=Routes!$C$13),OR(Routes!$D$13="ALL",COUNTIF(Routes!$D$13:$G$13,FAQs!$C3)&gt;0,AND(FAQs!$D3&lt;&gt;"",COUNTIF(Routes!$D$13:$G$13,FAQs!$D3)&gt;0)))),"●","")</f>
        <v/>
      </c>
      <c r="O3" s="12" t="str">
        <f aca="false">IF(OR(ISNUMBER(SEARCH(","&amp;O$1&amp;",",","&amp;SUBSTITUTE(FAQs!$G3," ","")&amp;",")),AND(OR(FAQs!$E3="both",Routes!$C$14="both",FAQs!$E3=Routes!$C$14),OR(Routes!$D$14="ALL",COUNTIF(Routes!$D$14:$G$14,FAQs!$C3)&gt;0,AND(FAQs!$D3&lt;&gt;"",COUNTIF(Routes!$D$14:$G$14,FAQs!$D3)&gt;0)))),"●","")</f>
        <v>●</v>
      </c>
      <c r="P3" s="12" t="str">
        <f aca="false">IF(OR(ISNUMBER(SEARCH(","&amp;P$1&amp;",",","&amp;SUBSTITUTE(FAQs!$G3," ","")&amp;",")),AND(OR(FAQs!$E3="both",Routes!$C$15="both",FAQs!$E3=Routes!$C$15),OR(Routes!$D$15="ALL",COUNTIF(Routes!$D$15:$G$15,FAQs!$C3)&gt;0,AND(FAQs!$D3&lt;&gt;"",COUNTIF(Routes!$D$15:$G$15,FAQs!$D3)&gt;0)))),"●","")</f>
        <v>●</v>
      </c>
      <c r="Q3" s="12" t="str">
        <f aca="false">IF(OR(ISNUMBER(SEARCH(","&amp;Q$1&amp;",",","&amp;SUBSTITUTE(FAQs!$G3," ","")&amp;",")),AND(OR(FAQs!$E3="both",Routes!$C$16="both",FAQs!$E3=Routes!$C$16),OR(Routes!$D$16="ALL",COUNTIF(Routes!$D$16:$G$16,FAQs!$C3)&gt;0,AND(FAQs!$D3&lt;&gt;"",COUNTIF(Routes!$D$16:$G$16,FAQs!$D3)&gt;0)))),"●","")</f>
        <v/>
      </c>
      <c r="R3" s="12" t="str">
        <f aca="false">IF(OR(ISNUMBER(SEARCH(","&amp;R$1&amp;",",","&amp;SUBSTITUTE(FAQs!$G3," ","")&amp;",")),AND(OR(FAQs!$E3="both",Routes!$C$17="both",FAQs!$E3=Routes!$C$17),OR(Routes!$D$17="ALL",COUNTIF(Routes!$D$17:$G$17,FAQs!$C3)&gt;0,AND(FAQs!$D3&lt;&gt;"",COUNTIF(Routes!$D$17:$G$17,FAQs!$D3)&gt;0)))),"●","")</f>
        <v/>
      </c>
      <c r="S3" s="12" t="str">
        <f aca="false">IF(OR(ISNUMBER(SEARCH(","&amp;S$1&amp;",",","&amp;SUBSTITUTE(FAQs!$G3," ","")&amp;",")),AND(OR(FAQs!$E3="both",Routes!$C$18="both",FAQs!$E3=Routes!$C$18),OR(Routes!$D$18="ALL",COUNTIF(Routes!$D$18:$G$18,FAQs!$C3)&gt;0,AND(FAQs!$D3&lt;&gt;"",COUNTIF(Routes!$D$18:$G$18,FAQs!$D3)&gt;0)))),"●","")</f>
        <v/>
      </c>
      <c r="T3" s="12" t="str">
        <f aca="false">IF(OR(ISNUMBER(SEARCH(","&amp;T$1&amp;",",","&amp;SUBSTITUTE(FAQs!$G3," ","")&amp;",")),AND(OR(FAQs!$E3="both",Routes!$C$19="both",FAQs!$E3=Routes!$C$19),OR(Routes!$D$19="ALL",COUNTIF(Routes!$D$19:$G$19,FAQs!$C3)&gt;0,AND(FAQs!$D3&lt;&gt;"",COUNTIF(Routes!$D$19:$G$19,FAQs!$D3)&gt;0)))),"●","")</f>
        <v/>
      </c>
      <c r="U3" s="9" t="n">
        <f aca="false">COUNTIF(C3:T3,"●")</f>
        <v>5</v>
      </c>
    </row>
    <row r="4" customFormat="false" ht="15" hidden="false" customHeight="false" outlineLevel="0" collapsed="false">
      <c r="A4" s="9" t="str">
        <f aca="false">FAQs!A4</f>
        <v>F03</v>
      </c>
      <c r="B4" s="9" t="str">
        <f aca="false">FAQs!H4</f>
        <v>Can I leave my luggage before check-in?</v>
      </c>
      <c r="C4" s="12" t="str">
        <f aca="false">IF(OR(ISNUMBER(SEARCH(","&amp;C$1&amp;",",","&amp;SUBSTITUTE(FAQs!$G4," ","")&amp;",")),AND(OR(FAQs!$E4="both",Routes!$C$2="both",FAQs!$E4=Routes!$C$2),OR(Routes!$D$2="ALL",COUNTIF(Routes!$D$2:$G$2,FAQs!$C4)&gt;0,AND(FAQs!$D4&lt;&gt;"",COUNTIF(Routes!$D$2:$G$2,FAQs!$D4)&gt;0)))),"●","")</f>
        <v>●</v>
      </c>
      <c r="D4" s="12" t="str">
        <f aca="false">IF(OR(ISNUMBER(SEARCH(","&amp;D$1&amp;",",","&amp;SUBSTITUTE(FAQs!$G4," ","")&amp;",")),AND(OR(FAQs!$E4="both",Routes!$C$3="both",FAQs!$E4=Routes!$C$3),OR(Routes!$D$3="ALL",COUNTIF(Routes!$D$3:$G$3,FAQs!$C4)&gt;0,AND(FAQs!$D4&lt;&gt;"",COUNTIF(Routes!$D$3:$G$3,FAQs!$D4)&gt;0)))),"●","")</f>
        <v/>
      </c>
      <c r="E4" s="12" t="str">
        <f aca="false">IF(OR(ISNUMBER(SEARCH(","&amp;E$1&amp;",",","&amp;SUBSTITUTE(FAQs!$G4," ","")&amp;",")),AND(OR(FAQs!$E4="both",Routes!$C$4="both",FAQs!$E4=Routes!$C$4),OR(Routes!$D$4="ALL",COUNTIF(Routes!$D$4:$G$4,FAQs!$C4)&gt;0,AND(FAQs!$D4&lt;&gt;"",COUNTIF(Routes!$D$4:$G$4,FAQs!$D4)&gt;0)))),"●","")</f>
        <v/>
      </c>
      <c r="F4" s="12" t="str">
        <f aca="false">IF(OR(ISNUMBER(SEARCH(","&amp;F$1&amp;",",","&amp;SUBSTITUTE(FAQs!$G4," ","")&amp;",")),AND(OR(FAQs!$E4="both",Routes!$C$5="both",FAQs!$E4=Routes!$C$5),OR(Routes!$D$5="ALL",COUNTIF(Routes!$D$5:$G$5,FAQs!$C4)&gt;0,AND(FAQs!$D4&lt;&gt;"",COUNTIF(Routes!$D$5:$G$5,FAQs!$D4)&gt;0)))),"●","")</f>
        <v/>
      </c>
      <c r="G4" s="12" t="str">
        <f aca="false">IF(OR(ISNUMBER(SEARCH(","&amp;G$1&amp;",",","&amp;SUBSTITUTE(FAQs!$G4," ","")&amp;",")),AND(OR(FAQs!$E4="both",Routes!$C$6="both",FAQs!$E4=Routes!$C$6),OR(Routes!$D$6="ALL",COUNTIF(Routes!$D$6:$G$6,FAQs!$C4)&gt;0,AND(FAQs!$D4&lt;&gt;"",COUNTIF(Routes!$D$6:$G$6,FAQs!$D4)&gt;0)))),"●","")</f>
        <v/>
      </c>
      <c r="H4" s="12" t="str">
        <f aca="false">IF(OR(ISNUMBER(SEARCH(","&amp;H$1&amp;",",","&amp;SUBSTITUTE(FAQs!$G4," ","")&amp;",")),AND(OR(FAQs!$E4="both",Routes!$C$7="both",FAQs!$E4=Routes!$C$7),OR(Routes!$D$7="ALL",COUNTIF(Routes!$D$7:$G$7,FAQs!$C4)&gt;0,AND(FAQs!$D4&lt;&gt;"",COUNTIF(Routes!$D$7:$G$7,FAQs!$D4)&gt;0)))),"●","")</f>
        <v/>
      </c>
      <c r="I4" s="12" t="str">
        <f aca="false">IF(OR(ISNUMBER(SEARCH(","&amp;I$1&amp;",",","&amp;SUBSTITUTE(FAQs!$G4," ","")&amp;",")),AND(OR(FAQs!$E4="both",Routes!$C$8="both",FAQs!$E4=Routes!$C$8),OR(Routes!$D$8="ALL",COUNTIF(Routes!$D$8:$G$8,FAQs!$C4)&gt;0,AND(FAQs!$D4&lt;&gt;"",COUNTIF(Routes!$D$8:$G$8,FAQs!$D4)&gt;0)))),"●","")</f>
        <v/>
      </c>
      <c r="J4" s="12" t="str">
        <f aca="false">IF(OR(ISNUMBER(SEARCH(","&amp;J$1&amp;",",","&amp;SUBSTITUTE(FAQs!$G4," ","")&amp;",")),AND(OR(FAQs!$E4="both",Routes!$C$9="both",FAQs!$E4=Routes!$C$9),OR(Routes!$D$9="ALL",COUNTIF(Routes!$D$9:$G$9,FAQs!$C4)&gt;0,AND(FAQs!$D4&lt;&gt;"",COUNTIF(Routes!$D$9:$G$9,FAQs!$D4)&gt;0)))),"●","")</f>
        <v/>
      </c>
      <c r="K4" s="12" t="str">
        <f aca="false">IF(OR(ISNUMBER(SEARCH(","&amp;K$1&amp;",",","&amp;SUBSTITUTE(FAQs!$G4," ","")&amp;",")),AND(OR(FAQs!$E4="both",Routes!$C$10="both",FAQs!$E4=Routes!$C$10),OR(Routes!$D$10="ALL",COUNTIF(Routes!$D$10:$G$10,FAQs!$C4)&gt;0,AND(FAQs!$D4&lt;&gt;"",COUNTIF(Routes!$D$10:$G$10,FAQs!$D4)&gt;0)))),"●","")</f>
        <v>●</v>
      </c>
      <c r="L4" s="12" t="str">
        <f aca="false">IF(OR(ISNUMBER(SEARCH(","&amp;L$1&amp;",",","&amp;SUBSTITUTE(FAQs!$G4," ","")&amp;",")),AND(OR(FAQs!$E4="both",Routes!$C$11="both",FAQs!$E4=Routes!$C$11),OR(Routes!$D$11="ALL",COUNTIF(Routes!$D$11:$G$11,FAQs!$C4)&gt;0,AND(FAQs!$D4&lt;&gt;"",COUNTIF(Routes!$D$11:$G$11,FAQs!$D4)&gt;0)))),"●","")</f>
        <v>●</v>
      </c>
      <c r="M4" s="12" t="str">
        <f aca="false">IF(OR(ISNUMBER(SEARCH(","&amp;M$1&amp;",",","&amp;SUBSTITUTE(FAQs!$G4," ","")&amp;",")),AND(OR(FAQs!$E4="both",Routes!$C$12="both",FAQs!$E4=Routes!$C$12),OR(Routes!$D$12="ALL",COUNTIF(Routes!$D$12:$G$12,FAQs!$C4)&gt;0,AND(FAQs!$D4&lt;&gt;"",COUNTIF(Routes!$D$12:$G$12,FAQs!$D4)&gt;0)))),"●","")</f>
        <v/>
      </c>
      <c r="N4" s="12" t="str">
        <f aca="false">IF(OR(ISNUMBER(SEARCH(","&amp;N$1&amp;",",","&amp;SUBSTITUTE(FAQs!$G4," ","")&amp;",")),AND(OR(FAQs!$E4="both",Routes!$C$13="both",FAQs!$E4=Routes!$C$13),OR(Routes!$D$13="ALL",COUNTIF(Routes!$D$13:$G$13,FAQs!$C4)&gt;0,AND(FAQs!$D4&lt;&gt;"",COUNTIF(Routes!$D$13:$G$13,FAQs!$D4)&gt;0)))),"●","")</f>
        <v/>
      </c>
      <c r="O4" s="12" t="str">
        <f aca="false">IF(OR(ISNUMBER(SEARCH(","&amp;O$1&amp;",",","&amp;SUBSTITUTE(FAQs!$G4," ","")&amp;",")),AND(OR(FAQs!$E4="both",Routes!$C$14="both",FAQs!$E4=Routes!$C$14),OR(Routes!$D$14="ALL",COUNTIF(Routes!$D$14:$G$14,FAQs!$C4)&gt;0,AND(FAQs!$D4&lt;&gt;"",COUNTIF(Routes!$D$14:$G$14,FAQs!$D4)&gt;0)))),"●","")</f>
        <v>●</v>
      </c>
      <c r="P4" s="12" t="str">
        <f aca="false">IF(OR(ISNUMBER(SEARCH(","&amp;P$1&amp;",",","&amp;SUBSTITUTE(FAQs!$G4," ","")&amp;",")),AND(OR(FAQs!$E4="both",Routes!$C$15="both",FAQs!$E4=Routes!$C$15),OR(Routes!$D$15="ALL",COUNTIF(Routes!$D$15:$G$15,FAQs!$C4)&gt;0,AND(FAQs!$D4&lt;&gt;"",COUNTIF(Routes!$D$15:$G$15,FAQs!$D4)&gt;0)))),"●","")</f>
        <v>●</v>
      </c>
      <c r="Q4" s="12" t="str">
        <f aca="false">IF(OR(ISNUMBER(SEARCH(","&amp;Q$1&amp;",",","&amp;SUBSTITUTE(FAQs!$G4," ","")&amp;",")),AND(OR(FAQs!$E4="both",Routes!$C$16="both",FAQs!$E4=Routes!$C$16),OR(Routes!$D$16="ALL",COUNTIF(Routes!$D$16:$G$16,FAQs!$C4)&gt;0,AND(FAQs!$D4&lt;&gt;"",COUNTIF(Routes!$D$16:$G$16,FAQs!$D4)&gt;0)))),"●","")</f>
        <v/>
      </c>
      <c r="R4" s="12" t="str">
        <f aca="false">IF(OR(ISNUMBER(SEARCH(","&amp;R$1&amp;",",","&amp;SUBSTITUTE(FAQs!$G4," ","")&amp;",")),AND(OR(FAQs!$E4="both",Routes!$C$17="both",FAQs!$E4=Routes!$C$17),OR(Routes!$D$17="ALL",COUNTIF(Routes!$D$17:$G$17,FAQs!$C4)&gt;0,AND(FAQs!$D4&lt;&gt;"",COUNTIF(Routes!$D$17:$G$17,FAQs!$D4)&gt;0)))),"●","")</f>
        <v/>
      </c>
      <c r="S4" s="12" t="str">
        <f aca="false">IF(OR(ISNUMBER(SEARCH(","&amp;S$1&amp;",",","&amp;SUBSTITUTE(FAQs!$G4," ","")&amp;",")),AND(OR(FAQs!$E4="both",Routes!$C$18="both",FAQs!$E4=Routes!$C$18),OR(Routes!$D$18="ALL",COUNTIF(Routes!$D$18:$G$18,FAQs!$C4)&gt;0,AND(FAQs!$D4&lt;&gt;"",COUNTIF(Routes!$D$18:$G$18,FAQs!$D4)&gt;0)))),"●","")</f>
        <v/>
      </c>
      <c r="T4" s="12" t="str">
        <f aca="false">IF(OR(ISNUMBER(SEARCH(","&amp;T$1&amp;",",","&amp;SUBSTITUTE(FAQs!$G4," ","")&amp;",")),AND(OR(FAQs!$E4="both",Routes!$C$19="both",FAQs!$E4=Routes!$C$19),OR(Routes!$D$19="ALL",COUNTIF(Routes!$D$19:$G$19,FAQs!$C4)&gt;0,AND(FAQs!$D4&lt;&gt;"",COUNTIF(Routes!$D$19:$G$19,FAQs!$D4)&gt;0)))),"●","")</f>
        <v/>
      </c>
      <c r="U4" s="9" t="n">
        <f aca="false">COUNTIF(C4:T4,"●")</f>
        <v>5</v>
      </c>
    </row>
    <row r="5" customFormat="false" ht="15" hidden="false" customHeight="false" outlineLevel="0" collapsed="false">
      <c r="A5" s="9" t="str">
        <f aca="false">FAQs!A5</f>
        <v>F04</v>
      </c>
      <c r="B5" s="9" t="str">
        <f aca="false">FAQs!H5</f>
        <v>What time is check-out, and can I stay longer?</v>
      </c>
      <c r="C5" s="12" t="str">
        <f aca="false">IF(OR(ISNUMBER(SEARCH(","&amp;C$1&amp;",",","&amp;SUBSTITUTE(FAQs!$G5," ","")&amp;",")),AND(OR(FAQs!$E5="both",Routes!$C$2="both",FAQs!$E5=Routes!$C$2),OR(Routes!$D$2="ALL",COUNTIF(Routes!$D$2:$G$2,FAQs!$C5)&gt;0,AND(FAQs!$D5&lt;&gt;"",COUNTIF(Routes!$D$2:$G$2,FAQs!$D5)&gt;0)))),"●","")</f>
        <v>●</v>
      </c>
      <c r="D5" s="12" t="str">
        <f aca="false">IF(OR(ISNUMBER(SEARCH(","&amp;D$1&amp;",",","&amp;SUBSTITUTE(FAQs!$G5," ","")&amp;",")),AND(OR(FAQs!$E5="both",Routes!$C$3="both",FAQs!$E5=Routes!$C$3),OR(Routes!$D$3="ALL",COUNTIF(Routes!$D$3:$G$3,FAQs!$C5)&gt;0,AND(FAQs!$D5&lt;&gt;"",COUNTIF(Routes!$D$3:$G$3,FAQs!$D5)&gt;0)))),"●","")</f>
        <v/>
      </c>
      <c r="E5" s="12" t="str">
        <f aca="false">IF(OR(ISNUMBER(SEARCH(","&amp;E$1&amp;",",","&amp;SUBSTITUTE(FAQs!$G5," ","")&amp;",")),AND(OR(FAQs!$E5="both",Routes!$C$4="both",FAQs!$E5=Routes!$C$4),OR(Routes!$D$4="ALL",COUNTIF(Routes!$D$4:$G$4,FAQs!$C5)&gt;0,AND(FAQs!$D5&lt;&gt;"",COUNTIF(Routes!$D$4:$G$4,FAQs!$D5)&gt;0)))),"●","")</f>
        <v/>
      </c>
      <c r="F5" s="12" t="str">
        <f aca="false">IF(OR(ISNUMBER(SEARCH(","&amp;F$1&amp;",",","&amp;SUBSTITUTE(FAQs!$G5," ","")&amp;",")),AND(OR(FAQs!$E5="both",Routes!$C$5="both",FAQs!$E5=Routes!$C$5),OR(Routes!$D$5="ALL",COUNTIF(Routes!$D$5:$G$5,FAQs!$C5)&gt;0,AND(FAQs!$D5&lt;&gt;"",COUNTIF(Routes!$D$5:$G$5,FAQs!$D5)&gt;0)))),"●","")</f>
        <v/>
      </c>
      <c r="G5" s="12" t="str">
        <f aca="false">IF(OR(ISNUMBER(SEARCH(","&amp;G$1&amp;",",","&amp;SUBSTITUTE(FAQs!$G5," ","")&amp;",")),AND(OR(FAQs!$E5="both",Routes!$C$6="both",FAQs!$E5=Routes!$C$6),OR(Routes!$D$6="ALL",COUNTIF(Routes!$D$6:$G$6,FAQs!$C5)&gt;0,AND(FAQs!$D5&lt;&gt;"",COUNTIF(Routes!$D$6:$G$6,FAQs!$D5)&gt;0)))),"●","")</f>
        <v/>
      </c>
      <c r="H5" s="12" t="str">
        <f aca="false">IF(OR(ISNUMBER(SEARCH(","&amp;H$1&amp;",",","&amp;SUBSTITUTE(FAQs!$G5," ","")&amp;",")),AND(OR(FAQs!$E5="both",Routes!$C$7="both",FAQs!$E5=Routes!$C$7),OR(Routes!$D$7="ALL",COUNTIF(Routes!$D$7:$G$7,FAQs!$C5)&gt;0,AND(FAQs!$D5&lt;&gt;"",COUNTIF(Routes!$D$7:$G$7,FAQs!$D5)&gt;0)))),"●","")</f>
        <v/>
      </c>
      <c r="I5" s="12" t="str">
        <f aca="false">IF(OR(ISNUMBER(SEARCH(","&amp;I$1&amp;",",","&amp;SUBSTITUTE(FAQs!$G5," ","")&amp;",")),AND(OR(FAQs!$E5="both",Routes!$C$8="both",FAQs!$E5=Routes!$C$8),OR(Routes!$D$8="ALL",COUNTIF(Routes!$D$8:$G$8,FAQs!$C5)&gt;0,AND(FAQs!$D5&lt;&gt;"",COUNTIF(Routes!$D$8:$G$8,FAQs!$D5)&gt;0)))),"●","")</f>
        <v/>
      </c>
      <c r="J5" s="12" t="str">
        <f aca="false">IF(OR(ISNUMBER(SEARCH(","&amp;J$1&amp;",",","&amp;SUBSTITUTE(FAQs!$G5," ","")&amp;",")),AND(OR(FAQs!$E5="both",Routes!$C$9="both",FAQs!$E5=Routes!$C$9),OR(Routes!$D$9="ALL",COUNTIF(Routes!$D$9:$G$9,FAQs!$C5)&gt;0,AND(FAQs!$D5&lt;&gt;"",COUNTIF(Routes!$D$9:$G$9,FAQs!$D5)&gt;0)))),"●","")</f>
        <v/>
      </c>
      <c r="K5" s="12" t="str">
        <f aca="false">IF(OR(ISNUMBER(SEARCH(","&amp;K$1&amp;",",","&amp;SUBSTITUTE(FAQs!$G5," ","")&amp;",")),AND(OR(FAQs!$E5="both",Routes!$C$10="both",FAQs!$E5=Routes!$C$10),OR(Routes!$D$10="ALL",COUNTIF(Routes!$D$10:$G$10,FAQs!$C5)&gt;0,AND(FAQs!$D5&lt;&gt;"",COUNTIF(Routes!$D$10:$G$10,FAQs!$D5)&gt;0)))),"●","")</f>
        <v>●</v>
      </c>
      <c r="L5" s="12" t="str">
        <f aca="false">IF(OR(ISNUMBER(SEARCH(","&amp;L$1&amp;",",","&amp;SUBSTITUTE(FAQs!$G5," ","")&amp;",")),AND(OR(FAQs!$E5="both",Routes!$C$11="both",FAQs!$E5=Routes!$C$11),OR(Routes!$D$11="ALL",COUNTIF(Routes!$D$11:$G$11,FAQs!$C5)&gt;0,AND(FAQs!$D5&lt;&gt;"",COUNTIF(Routes!$D$11:$G$11,FAQs!$D5)&gt;0)))),"●","")</f>
        <v>●</v>
      </c>
      <c r="M5" s="12" t="str">
        <f aca="false">IF(OR(ISNUMBER(SEARCH(","&amp;M$1&amp;",",","&amp;SUBSTITUTE(FAQs!$G5," ","")&amp;",")),AND(OR(FAQs!$E5="both",Routes!$C$12="both",FAQs!$E5=Routes!$C$12),OR(Routes!$D$12="ALL",COUNTIF(Routes!$D$12:$G$12,FAQs!$C5)&gt;0,AND(FAQs!$D5&lt;&gt;"",COUNTIF(Routes!$D$12:$G$12,FAQs!$D5)&gt;0)))),"●","")</f>
        <v/>
      </c>
      <c r="N5" s="12" t="str">
        <f aca="false">IF(OR(ISNUMBER(SEARCH(","&amp;N$1&amp;",",","&amp;SUBSTITUTE(FAQs!$G5," ","")&amp;",")),AND(OR(FAQs!$E5="both",Routes!$C$13="both",FAQs!$E5=Routes!$C$13),OR(Routes!$D$13="ALL",COUNTIF(Routes!$D$13:$G$13,FAQs!$C5)&gt;0,AND(FAQs!$D5&lt;&gt;"",COUNTIF(Routes!$D$13:$G$13,FAQs!$D5)&gt;0)))),"●","")</f>
        <v/>
      </c>
      <c r="O5" s="12" t="str">
        <f aca="false">IF(OR(ISNUMBER(SEARCH(","&amp;O$1&amp;",",","&amp;SUBSTITUTE(FAQs!$G5," ","")&amp;",")),AND(OR(FAQs!$E5="both",Routes!$C$14="both",FAQs!$E5=Routes!$C$14),OR(Routes!$D$14="ALL",COUNTIF(Routes!$D$14:$G$14,FAQs!$C5)&gt;0,AND(FAQs!$D5&lt;&gt;"",COUNTIF(Routes!$D$14:$G$14,FAQs!$D5)&gt;0)))),"●","")</f>
        <v>●</v>
      </c>
      <c r="P5" s="12" t="str">
        <f aca="false">IF(OR(ISNUMBER(SEARCH(","&amp;P$1&amp;",",","&amp;SUBSTITUTE(FAQs!$G5," ","")&amp;",")),AND(OR(FAQs!$E5="both",Routes!$C$15="both",FAQs!$E5=Routes!$C$15),OR(Routes!$D$15="ALL",COUNTIF(Routes!$D$15:$G$15,FAQs!$C5)&gt;0,AND(FAQs!$D5&lt;&gt;"",COUNTIF(Routes!$D$15:$G$15,FAQs!$D5)&gt;0)))),"●","")</f>
        <v>●</v>
      </c>
      <c r="Q5" s="12" t="str">
        <f aca="false">IF(OR(ISNUMBER(SEARCH(","&amp;Q$1&amp;",",","&amp;SUBSTITUTE(FAQs!$G5," ","")&amp;",")),AND(OR(FAQs!$E5="both",Routes!$C$16="both",FAQs!$E5=Routes!$C$16),OR(Routes!$D$16="ALL",COUNTIF(Routes!$D$16:$G$16,FAQs!$C5)&gt;0,AND(FAQs!$D5&lt;&gt;"",COUNTIF(Routes!$D$16:$G$16,FAQs!$D5)&gt;0)))),"●","")</f>
        <v/>
      </c>
      <c r="R5" s="12" t="str">
        <f aca="false">IF(OR(ISNUMBER(SEARCH(","&amp;R$1&amp;",",","&amp;SUBSTITUTE(FAQs!$G5," ","")&amp;",")),AND(OR(FAQs!$E5="both",Routes!$C$17="both",FAQs!$E5=Routes!$C$17),OR(Routes!$D$17="ALL",COUNTIF(Routes!$D$17:$G$17,FAQs!$C5)&gt;0,AND(FAQs!$D5&lt;&gt;"",COUNTIF(Routes!$D$17:$G$17,FAQs!$D5)&gt;0)))),"●","")</f>
        <v/>
      </c>
      <c r="S5" s="12" t="str">
        <f aca="false">IF(OR(ISNUMBER(SEARCH(","&amp;S$1&amp;",",","&amp;SUBSTITUTE(FAQs!$G5," ","")&amp;",")),AND(OR(FAQs!$E5="both",Routes!$C$18="both",FAQs!$E5=Routes!$C$18),OR(Routes!$D$18="ALL",COUNTIF(Routes!$D$18:$G$18,FAQs!$C5)&gt;0,AND(FAQs!$D5&lt;&gt;"",COUNTIF(Routes!$D$18:$G$18,FAQs!$D5)&gt;0)))),"●","")</f>
        <v>●</v>
      </c>
      <c r="T5" s="12" t="str">
        <f aca="false">IF(OR(ISNUMBER(SEARCH(","&amp;T$1&amp;",",","&amp;SUBSTITUTE(FAQs!$G5," ","")&amp;",")),AND(OR(FAQs!$E5="both",Routes!$C$19="both",FAQs!$E5=Routes!$C$19),OR(Routes!$D$19="ALL",COUNTIF(Routes!$D$19:$G$19,FAQs!$C5)&gt;0,AND(FAQs!$D5&lt;&gt;"",COUNTIF(Routes!$D$19:$G$19,FAQs!$D5)&gt;0)))),"●","")</f>
        <v/>
      </c>
      <c r="U5" s="9" t="n">
        <f aca="false">COUNTIF(C5:T5,"●")</f>
        <v>6</v>
      </c>
    </row>
    <row r="6" customFormat="false" ht="15" hidden="false" customHeight="false" outlineLevel="0" collapsed="false">
      <c r="A6" s="9" t="str">
        <f aca="false">FAQs!A6</f>
        <v>F05</v>
      </c>
      <c r="B6" s="9" t="str">
        <f aca="false">FAQs!H6</f>
        <v>Do I need to leave my key in the room at check-out?</v>
      </c>
      <c r="C6" s="12" t="str">
        <f aca="false">IF(OR(ISNUMBER(SEARCH(","&amp;C$1&amp;",",","&amp;SUBSTITUTE(FAQs!$G6," ","")&amp;",")),AND(OR(FAQs!$E6="both",Routes!$C$2="both",FAQs!$E6=Routes!$C$2),OR(Routes!$D$2="ALL",COUNTIF(Routes!$D$2:$G$2,FAQs!$C6)&gt;0,AND(FAQs!$D6&lt;&gt;"",COUNTIF(Routes!$D$2:$G$2,FAQs!$D6)&gt;0)))),"●","")</f>
        <v/>
      </c>
      <c r="D6" s="12" t="str">
        <f aca="false">IF(OR(ISNUMBER(SEARCH(","&amp;D$1&amp;",",","&amp;SUBSTITUTE(FAQs!$G6," ","")&amp;",")),AND(OR(FAQs!$E6="both",Routes!$C$3="both",FAQs!$E6=Routes!$C$3),OR(Routes!$D$3="ALL",COUNTIF(Routes!$D$3:$G$3,FAQs!$C6)&gt;0,AND(FAQs!$D6&lt;&gt;"",COUNTIF(Routes!$D$3:$G$3,FAQs!$D6)&gt;0)))),"●","")</f>
        <v/>
      </c>
      <c r="E6" s="12" t="str">
        <f aca="false">IF(OR(ISNUMBER(SEARCH(","&amp;E$1&amp;",",","&amp;SUBSTITUTE(FAQs!$G6," ","")&amp;",")),AND(OR(FAQs!$E6="both",Routes!$C$4="both",FAQs!$E6=Routes!$C$4),OR(Routes!$D$4="ALL",COUNTIF(Routes!$D$4:$G$4,FAQs!$C6)&gt;0,AND(FAQs!$D6&lt;&gt;"",COUNTIF(Routes!$D$4:$G$4,FAQs!$D6)&gt;0)))),"●","")</f>
        <v/>
      </c>
      <c r="F6" s="12" t="str">
        <f aca="false">IF(OR(ISNUMBER(SEARCH(","&amp;F$1&amp;",",","&amp;SUBSTITUTE(FAQs!$G6," ","")&amp;",")),AND(OR(FAQs!$E6="both",Routes!$C$5="both",FAQs!$E6=Routes!$C$5),OR(Routes!$D$5="ALL",COUNTIF(Routes!$D$5:$G$5,FAQs!$C6)&gt;0,AND(FAQs!$D6&lt;&gt;"",COUNTIF(Routes!$D$5:$G$5,FAQs!$D6)&gt;0)))),"●","")</f>
        <v/>
      </c>
      <c r="G6" s="12" t="str">
        <f aca="false">IF(OR(ISNUMBER(SEARCH(","&amp;G$1&amp;",",","&amp;SUBSTITUTE(FAQs!$G6," ","")&amp;",")),AND(OR(FAQs!$E6="both",Routes!$C$6="both",FAQs!$E6=Routes!$C$6),OR(Routes!$D$6="ALL",COUNTIF(Routes!$D$6:$G$6,FAQs!$C6)&gt;0,AND(FAQs!$D6&lt;&gt;"",COUNTIF(Routes!$D$6:$G$6,FAQs!$D6)&gt;0)))),"●","")</f>
        <v/>
      </c>
      <c r="H6" s="12" t="str">
        <f aca="false">IF(OR(ISNUMBER(SEARCH(","&amp;H$1&amp;",",","&amp;SUBSTITUTE(FAQs!$G6," ","")&amp;",")),AND(OR(FAQs!$E6="both",Routes!$C$7="both",FAQs!$E6=Routes!$C$7),OR(Routes!$D$7="ALL",COUNTIF(Routes!$D$7:$G$7,FAQs!$C6)&gt;0,AND(FAQs!$D6&lt;&gt;"",COUNTIF(Routes!$D$7:$G$7,FAQs!$D6)&gt;0)))),"●","")</f>
        <v/>
      </c>
      <c r="I6" s="12" t="str">
        <f aca="false">IF(OR(ISNUMBER(SEARCH(","&amp;I$1&amp;",",","&amp;SUBSTITUTE(FAQs!$G6," ","")&amp;",")),AND(OR(FAQs!$E6="both",Routes!$C$8="both",FAQs!$E6=Routes!$C$8),OR(Routes!$D$8="ALL",COUNTIF(Routes!$D$8:$G$8,FAQs!$C6)&gt;0,AND(FAQs!$D6&lt;&gt;"",COUNTIF(Routes!$D$8:$G$8,FAQs!$D6)&gt;0)))),"●","")</f>
        <v/>
      </c>
      <c r="J6" s="12" t="str">
        <f aca="false">IF(OR(ISNUMBER(SEARCH(","&amp;J$1&amp;",",","&amp;SUBSTITUTE(FAQs!$G6," ","")&amp;",")),AND(OR(FAQs!$E6="both",Routes!$C$9="both",FAQs!$E6=Routes!$C$9),OR(Routes!$D$9="ALL",COUNTIF(Routes!$D$9:$G$9,FAQs!$C6)&gt;0,AND(FAQs!$D6&lt;&gt;"",COUNTIF(Routes!$D$9:$G$9,FAQs!$D6)&gt;0)))),"●","")</f>
        <v/>
      </c>
      <c r="K6" s="12" t="str">
        <f aca="false">IF(OR(ISNUMBER(SEARCH(","&amp;K$1&amp;",",","&amp;SUBSTITUTE(FAQs!$G6," ","")&amp;",")),AND(OR(FAQs!$E6="both",Routes!$C$10="both",FAQs!$E6=Routes!$C$10),OR(Routes!$D$10="ALL",COUNTIF(Routes!$D$10:$G$10,FAQs!$C6)&gt;0,AND(FAQs!$D6&lt;&gt;"",COUNTIF(Routes!$D$10:$G$10,FAQs!$D6)&gt;0)))),"●","")</f>
        <v/>
      </c>
      <c r="L6" s="12" t="str">
        <f aca="false">IF(OR(ISNUMBER(SEARCH(","&amp;L$1&amp;",",","&amp;SUBSTITUTE(FAQs!$G6," ","")&amp;",")),AND(OR(FAQs!$E6="both",Routes!$C$11="both",FAQs!$E6=Routes!$C$11),OR(Routes!$D$11="ALL",COUNTIF(Routes!$D$11:$G$11,FAQs!$C6)&gt;0,AND(FAQs!$D6&lt;&gt;"",COUNTIF(Routes!$D$11:$G$11,FAQs!$D6)&gt;0)))),"●","")</f>
        <v>●</v>
      </c>
      <c r="M6" s="12" t="str">
        <f aca="false">IF(OR(ISNUMBER(SEARCH(","&amp;M$1&amp;",",","&amp;SUBSTITUTE(FAQs!$G6," ","")&amp;",")),AND(OR(FAQs!$E6="both",Routes!$C$12="both",FAQs!$E6=Routes!$C$12),OR(Routes!$D$12="ALL",COUNTIF(Routes!$D$12:$G$12,FAQs!$C6)&gt;0,AND(FAQs!$D6&lt;&gt;"",COUNTIF(Routes!$D$12:$G$12,FAQs!$D6)&gt;0)))),"●","")</f>
        <v/>
      </c>
      <c r="N6" s="12" t="str">
        <f aca="false">IF(OR(ISNUMBER(SEARCH(","&amp;N$1&amp;",",","&amp;SUBSTITUTE(FAQs!$G6," ","")&amp;",")),AND(OR(FAQs!$E6="both",Routes!$C$13="both",FAQs!$E6=Routes!$C$13),OR(Routes!$D$13="ALL",COUNTIF(Routes!$D$13:$G$13,FAQs!$C6)&gt;0,AND(FAQs!$D6&lt;&gt;"",COUNTIF(Routes!$D$13:$G$13,FAQs!$D6)&gt;0)))),"●","")</f>
        <v/>
      </c>
      <c r="O6" s="12" t="str">
        <f aca="false">IF(OR(ISNUMBER(SEARCH(","&amp;O$1&amp;",",","&amp;SUBSTITUTE(FAQs!$G6," ","")&amp;",")),AND(OR(FAQs!$E6="both",Routes!$C$14="both",FAQs!$E6=Routes!$C$14),OR(Routes!$D$14="ALL",COUNTIF(Routes!$D$14:$G$14,FAQs!$C6)&gt;0,AND(FAQs!$D6&lt;&gt;"",COUNTIF(Routes!$D$14:$G$14,FAQs!$D6)&gt;0)))),"●","")</f>
        <v>●</v>
      </c>
      <c r="P6" s="12" t="str">
        <f aca="false">IF(OR(ISNUMBER(SEARCH(","&amp;P$1&amp;",",","&amp;SUBSTITUTE(FAQs!$G6," ","")&amp;",")),AND(OR(FAQs!$E6="both",Routes!$C$15="both",FAQs!$E6=Routes!$C$15),OR(Routes!$D$15="ALL",COUNTIF(Routes!$D$15:$G$15,FAQs!$C6)&gt;0,AND(FAQs!$D6&lt;&gt;"",COUNTIF(Routes!$D$15:$G$15,FAQs!$D6)&gt;0)))),"●","")</f>
        <v/>
      </c>
      <c r="Q6" s="12" t="str">
        <f aca="false">IF(OR(ISNUMBER(SEARCH(","&amp;Q$1&amp;",",","&amp;SUBSTITUTE(FAQs!$G6," ","")&amp;",")),AND(OR(FAQs!$E6="both",Routes!$C$16="both",FAQs!$E6=Routes!$C$16),OR(Routes!$D$16="ALL",COUNTIF(Routes!$D$16:$G$16,FAQs!$C6)&gt;0,AND(FAQs!$D6&lt;&gt;"",COUNTIF(Routes!$D$16:$G$16,FAQs!$D6)&gt;0)))),"●","")</f>
        <v/>
      </c>
      <c r="R6" s="12" t="str">
        <f aca="false">IF(OR(ISNUMBER(SEARCH(","&amp;R$1&amp;",",","&amp;SUBSTITUTE(FAQs!$G6," ","")&amp;",")),AND(OR(FAQs!$E6="both",Routes!$C$17="both",FAQs!$E6=Routes!$C$17),OR(Routes!$D$17="ALL",COUNTIF(Routes!$D$17:$G$17,FAQs!$C6)&gt;0,AND(FAQs!$D6&lt;&gt;"",COUNTIF(Routes!$D$17:$G$17,FAQs!$D6)&gt;0)))),"●","")</f>
        <v/>
      </c>
      <c r="S6" s="12" t="str">
        <f aca="false">IF(OR(ISNUMBER(SEARCH(","&amp;S$1&amp;",",","&amp;SUBSTITUTE(FAQs!$G6," ","")&amp;",")),AND(OR(FAQs!$E6="both",Routes!$C$18="both",FAQs!$E6=Routes!$C$18),OR(Routes!$D$18="ALL",COUNTIF(Routes!$D$18:$G$18,FAQs!$C6)&gt;0,AND(FAQs!$D6&lt;&gt;"",COUNTIF(Routes!$D$18:$G$18,FAQs!$D6)&gt;0)))),"●","")</f>
        <v/>
      </c>
      <c r="T6" s="12" t="str">
        <f aca="false">IF(OR(ISNUMBER(SEARCH(","&amp;T$1&amp;",",","&amp;SUBSTITUTE(FAQs!$G6," ","")&amp;",")),AND(OR(FAQs!$E6="both",Routes!$C$19="both",FAQs!$E6=Routes!$C$19),OR(Routes!$D$19="ALL",COUNTIF(Routes!$D$19:$G$19,FAQs!$C6)&gt;0,AND(FAQs!$D6&lt;&gt;"",COUNTIF(Routes!$D$19:$G$19,FAQs!$D6)&gt;0)))),"●","")</f>
        <v/>
      </c>
      <c r="U6" s="9" t="n">
        <f aca="false">COUNTIF(C6:T6,"●")</f>
        <v>2</v>
      </c>
    </row>
    <row r="7" customFormat="false" ht="15" hidden="false" customHeight="false" outlineLevel="0" collapsed="false">
      <c r="A7" s="9" t="str">
        <f aca="false">FAQs!A7</f>
        <v>F06</v>
      </c>
      <c r="B7" s="9" t="str">
        <f aca="false">FAQs!H7</f>
        <v>Can I reserve parking, and how much does it cost?</v>
      </c>
      <c r="C7" s="12" t="str">
        <f aca="false">IF(OR(ISNUMBER(SEARCH(","&amp;C$1&amp;",",","&amp;SUBSTITUTE(FAQs!$G7," ","")&amp;",")),AND(OR(FAQs!$E7="both",Routes!$C$2="both",FAQs!$E7=Routes!$C$2),OR(Routes!$D$2="ALL",COUNTIF(Routes!$D$2:$G$2,FAQs!$C7)&gt;0,AND(FAQs!$D7&lt;&gt;"",COUNTIF(Routes!$D$2:$G$2,FAQs!$D7)&gt;0)))),"●","")</f>
        <v>●</v>
      </c>
      <c r="D7" s="12" t="str">
        <f aca="false">IF(OR(ISNUMBER(SEARCH(","&amp;D$1&amp;",",","&amp;SUBSTITUTE(FAQs!$G7," ","")&amp;",")),AND(OR(FAQs!$E7="both",Routes!$C$3="both",FAQs!$E7=Routes!$C$3),OR(Routes!$D$3="ALL",COUNTIF(Routes!$D$3:$G$3,FAQs!$C7)&gt;0,AND(FAQs!$D7&lt;&gt;"",COUNTIF(Routes!$D$3:$G$3,FAQs!$D7)&gt;0)))),"●","")</f>
        <v/>
      </c>
      <c r="E7" s="12" t="str">
        <f aca="false">IF(OR(ISNUMBER(SEARCH(","&amp;E$1&amp;",",","&amp;SUBSTITUTE(FAQs!$G7," ","")&amp;",")),AND(OR(FAQs!$E7="both",Routes!$C$4="both",FAQs!$E7=Routes!$C$4),OR(Routes!$D$4="ALL",COUNTIF(Routes!$D$4:$G$4,FAQs!$C7)&gt;0,AND(FAQs!$D7&lt;&gt;"",COUNTIF(Routes!$D$4:$G$4,FAQs!$D7)&gt;0)))),"●","")</f>
        <v/>
      </c>
      <c r="F7" s="12" t="str">
        <f aca="false">IF(OR(ISNUMBER(SEARCH(","&amp;F$1&amp;",",","&amp;SUBSTITUTE(FAQs!$G7," ","")&amp;",")),AND(OR(FAQs!$E7="both",Routes!$C$5="both",FAQs!$E7=Routes!$C$5),OR(Routes!$D$5="ALL",COUNTIF(Routes!$D$5:$G$5,FAQs!$C7)&gt;0,AND(FAQs!$D7&lt;&gt;"",COUNTIF(Routes!$D$5:$G$5,FAQs!$D7)&gt;0)))),"●","")</f>
        <v>●</v>
      </c>
      <c r="G7" s="12" t="str">
        <f aca="false">IF(OR(ISNUMBER(SEARCH(","&amp;G$1&amp;",",","&amp;SUBSTITUTE(FAQs!$G7," ","")&amp;",")),AND(OR(FAQs!$E7="both",Routes!$C$6="both",FAQs!$E7=Routes!$C$6),OR(Routes!$D$6="ALL",COUNTIF(Routes!$D$6:$G$6,FAQs!$C7)&gt;0,AND(FAQs!$D7&lt;&gt;"",COUNTIF(Routes!$D$6:$G$6,FAQs!$D7)&gt;0)))),"●","")</f>
        <v/>
      </c>
      <c r="H7" s="12" t="str">
        <f aca="false">IF(OR(ISNUMBER(SEARCH(","&amp;H$1&amp;",",","&amp;SUBSTITUTE(FAQs!$G7," ","")&amp;",")),AND(OR(FAQs!$E7="both",Routes!$C$7="both",FAQs!$E7=Routes!$C$7),OR(Routes!$D$7="ALL",COUNTIF(Routes!$D$7:$G$7,FAQs!$C7)&gt;0,AND(FAQs!$D7&lt;&gt;"",COUNTIF(Routes!$D$7:$G$7,FAQs!$D7)&gt;0)))),"●","")</f>
        <v/>
      </c>
      <c r="I7" s="12" t="str">
        <f aca="false">IF(OR(ISNUMBER(SEARCH(","&amp;I$1&amp;",",","&amp;SUBSTITUTE(FAQs!$G7," ","")&amp;",")),AND(OR(FAQs!$E7="both",Routes!$C$8="both",FAQs!$E7=Routes!$C$8),OR(Routes!$D$8="ALL",COUNTIF(Routes!$D$8:$G$8,FAQs!$C7)&gt;0,AND(FAQs!$D7&lt;&gt;"",COUNTIF(Routes!$D$8:$G$8,FAQs!$D7)&gt;0)))),"●","")</f>
        <v/>
      </c>
      <c r="J7" s="12" t="str">
        <f aca="false">IF(OR(ISNUMBER(SEARCH(","&amp;J$1&amp;",",","&amp;SUBSTITUTE(FAQs!$G7," ","")&amp;",")),AND(OR(FAQs!$E7="both",Routes!$C$9="both",FAQs!$E7=Routes!$C$9),OR(Routes!$D$9="ALL",COUNTIF(Routes!$D$9:$G$9,FAQs!$C7)&gt;0,AND(FAQs!$D7&lt;&gt;"",COUNTIF(Routes!$D$9:$G$9,FAQs!$D7)&gt;0)))),"●","")</f>
        <v/>
      </c>
      <c r="K7" s="12" t="str">
        <f aca="false">IF(OR(ISNUMBER(SEARCH(","&amp;K$1&amp;",",","&amp;SUBSTITUTE(FAQs!$G7," ","")&amp;",")),AND(OR(FAQs!$E7="both",Routes!$C$10="both",FAQs!$E7=Routes!$C$10),OR(Routes!$D$10="ALL",COUNTIF(Routes!$D$10:$G$10,FAQs!$C7)&gt;0,AND(FAQs!$D7&lt;&gt;"",COUNTIF(Routes!$D$10:$G$10,FAQs!$D7)&gt;0)))),"●","")</f>
        <v>●</v>
      </c>
      <c r="L7" s="12" t="str">
        <f aca="false">IF(OR(ISNUMBER(SEARCH(","&amp;L$1&amp;",",","&amp;SUBSTITUTE(FAQs!$G7," ","")&amp;",")),AND(OR(FAQs!$E7="both",Routes!$C$11="both",FAQs!$E7=Routes!$C$11),OR(Routes!$D$11="ALL",COUNTIF(Routes!$D$11:$G$11,FAQs!$C7)&gt;0,AND(FAQs!$D7&lt;&gt;"",COUNTIF(Routes!$D$11:$G$11,FAQs!$D7)&gt;0)))),"●","")</f>
        <v/>
      </c>
      <c r="M7" s="12" t="str">
        <f aca="false">IF(OR(ISNUMBER(SEARCH(","&amp;M$1&amp;",",","&amp;SUBSTITUTE(FAQs!$G7," ","")&amp;",")),AND(OR(FAQs!$E7="both",Routes!$C$12="both",FAQs!$E7=Routes!$C$12),OR(Routes!$D$12="ALL",COUNTIF(Routes!$D$12:$G$12,FAQs!$C7)&gt;0,AND(FAQs!$D7&lt;&gt;"",COUNTIF(Routes!$D$12:$G$12,FAQs!$D7)&gt;0)))),"●","")</f>
        <v/>
      </c>
      <c r="N7" s="12" t="str">
        <f aca="false">IF(OR(ISNUMBER(SEARCH(","&amp;N$1&amp;",",","&amp;SUBSTITUTE(FAQs!$G7," ","")&amp;",")),AND(OR(FAQs!$E7="both",Routes!$C$13="both",FAQs!$E7=Routes!$C$13),OR(Routes!$D$13="ALL",COUNTIF(Routes!$D$13:$G$13,FAQs!$C7)&gt;0,AND(FAQs!$D7&lt;&gt;"",COUNTIF(Routes!$D$13:$G$13,FAQs!$D7)&gt;0)))),"●","")</f>
        <v>●</v>
      </c>
      <c r="O7" s="12" t="str">
        <f aca="false">IF(OR(ISNUMBER(SEARCH(","&amp;O$1&amp;",",","&amp;SUBSTITUTE(FAQs!$G7," ","")&amp;",")),AND(OR(FAQs!$E7="both",Routes!$C$14="both",FAQs!$E7=Routes!$C$14),OR(Routes!$D$14="ALL",COUNTIF(Routes!$D$14:$G$14,FAQs!$C7)&gt;0,AND(FAQs!$D7&lt;&gt;"",COUNTIF(Routes!$D$14:$G$14,FAQs!$D7)&gt;0)))),"●","")</f>
        <v>●</v>
      </c>
      <c r="P7" s="12" t="str">
        <f aca="false">IF(OR(ISNUMBER(SEARCH(","&amp;P$1&amp;",",","&amp;SUBSTITUTE(FAQs!$G7," ","")&amp;",")),AND(OR(FAQs!$E7="both",Routes!$C$15="both",FAQs!$E7=Routes!$C$15),OR(Routes!$D$15="ALL",COUNTIF(Routes!$D$15:$G$15,FAQs!$C7)&gt;0,AND(FAQs!$D7&lt;&gt;"",COUNTIF(Routes!$D$15:$G$15,FAQs!$D7)&gt;0)))),"●","")</f>
        <v/>
      </c>
      <c r="Q7" s="12" t="str">
        <f aca="false">IF(OR(ISNUMBER(SEARCH(","&amp;Q$1&amp;",",","&amp;SUBSTITUTE(FAQs!$G7," ","")&amp;",")),AND(OR(FAQs!$E7="both",Routes!$C$16="both",FAQs!$E7=Routes!$C$16),OR(Routes!$D$16="ALL",COUNTIF(Routes!$D$16:$G$16,FAQs!$C7)&gt;0,AND(FAQs!$D7&lt;&gt;"",COUNTIF(Routes!$D$16:$G$16,FAQs!$D7)&gt;0)))),"●","")</f>
        <v/>
      </c>
      <c r="R7" s="12" t="str">
        <f aca="false">IF(OR(ISNUMBER(SEARCH(","&amp;R$1&amp;",",","&amp;SUBSTITUTE(FAQs!$G7," ","")&amp;",")),AND(OR(FAQs!$E7="both",Routes!$C$17="both",FAQs!$E7=Routes!$C$17),OR(Routes!$D$17="ALL",COUNTIF(Routes!$D$17:$G$17,FAQs!$C7)&gt;0,AND(FAQs!$D7&lt;&gt;"",COUNTIF(Routes!$D$17:$G$17,FAQs!$D7)&gt;0)))),"●","")</f>
        <v/>
      </c>
      <c r="S7" s="12" t="str">
        <f aca="false">IF(OR(ISNUMBER(SEARCH(","&amp;S$1&amp;",",","&amp;SUBSTITUTE(FAQs!$G7," ","")&amp;",")),AND(OR(FAQs!$E7="both",Routes!$C$18="both",FAQs!$E7=Routes!$C$18),OR(Routes!$D$18="ALL",COUNTIF(Routes!$D$18:$G$18,FAQs!$C7)&gt;0,AND(FAQs!$D7&lt;&gt;"",COUNTIF(Routes!$D$18:$G$18,FAQs!$D7)&gt;0)))),"●","")</f>
        <v>●</v>
      </c>
      <c r="T7" s="12" t="str">
        <f aca="false">IF(OR(ISNUMBER(SEARCH(","&amp;T$1&amp;",",","&amp;SUBSTITUTE(FAQs!$G7," ","")&amp;",")),AND(OR(FAQs!$E7="both",Routes!$C$19="both",FAQs!$E7=Routes!$C$19),OR(Routes!$D$19="ALL",COUNTIF(Routes!$D$19:$G$19,FAQs!$C7)&gt;0,AND(FAQs!$D7&lt;&gt;"",COUNTIF(Routes!$D$19:$G$19,FAQs!$D7)&gt;0)))),"●","")</f>
        <v/>
      </c>
      <c r="U7" s="9" t="n">
        <f aca="false">COUNTIF(C7:T7,"●")</f>
        <v>6</v>
      </c>
    </row>
    <row r="8" customFormat="false" ht="15" hidden="false" customHeight="false" outlineLevel="0" collapsed="false">
      <c r="A8" s="9" t="str">
        <f aca="false">FAQs!A8</f>
        <v>F07</v>
      </c>
      <c r="B8" s="9" t="str">
        <f aca="false">FAQs!H8</f>
        <v>Do you offer an airport transfer, and how do I get to the hotel from the airport?</v>
      </c>
      <c r="C8" s="12" t="str">
        <f aca="false">IF(OR(ISNUMBER(SEARCH(","&amp;C$1&amp;",",","&amp;SUBSTITUTE(FAQs!$G8," ","")&amp;",")),AND(OR(FAQs!$E8="both",Routes!$C$2="both",FAQs!$E8=Routes!$C$2),OR(Routes!$D$2="ALL",COUNTIF(Routes!$D$2:$G$2,FAQs!$C8)&gt;0,AND(FAQs!$D8&lt;&gt;"",COUNTIF(Routes!$D$2:$G$2,FAQs!$D8)&gt;0)))),"●","")</f>
        <v>●</v>
      </c>
      <c r="D8" s="12" t="str">
        <f aca="false">IF(OR(ISNUMBER(SEARCH(","&amp;D$1&amp;",",","&amp;SUBSTITUTE(FAQs!$G8," ","")&amp;",")),AND(OR(FAQs!$E8="both",Routes!$C$3="both",FAQs!$E8=Routes!$C$3),OR(Routes!$D$3="ALL",COUNTIF(Routes!$D$3:$G$3,FAQs!$C8)&gt;0,AND(FAQs!$D8&lt;&gt;"",COUNTIF(Routes!$D$3:$G$3,FAQs!$D8)&gt;0)))),"●","")</f>
        <v/>
      </c>
      <c r="E8" s="12" t="str">
        <f aca="false">IF(OR(ISNUMBER(SEARCH(","&amp;E$1&amp;",",","&amp;SUBSTITUTE(FAQs!$G8," ","")&amp;",")),AND(OR(FAQs!$E8="both",Routes!$C$4="both",FAQs!$E8=Routes!$C$4),OR(Routes!$D$4="ALL",COUNTIF(Routes!$D$4:$G$4,FAQs!$C8)&gt;0,AND(FAQs!$D8&lt;&gt;"",COUNTIF(Routes!$D$4:$G$4,FAQs!$D8)&gt;0)))),"●","")</f>
        <v/>
      </c>
      <c r="F8" s="12" t="str">
        <f aca="false">IF(OR(ISNUMBER(SEARCH(","&amp;F$1&amp;",",","&amp;SUBSTITUTE(FAQs!$G8," ","")&amp;",")),AND(OR(FAQs!$E8="both",Routes!$C$5="both",FAQs!$E8=Routes!$C$5),OR(Routes!$D$5="ALL",COUNTIF(Routes!$D$5:$G$5,FAQs!$C8)&gt;0,AND(FAQs!$D8&lt;&gt;"",COUNTIF(Routes!$D$5:$G$5,FAQs!$D8)&gt;0)))),"●","")</f>
        <v>●</v>
      </c>
      <c r="G8" s="12" t="str">
        <f aca="false">IF(OR(ISNUMBER(SEARCH(","&amp;G$1&amp;",",","&amp;SUBSTITUTE(FAQs!$G8," ","")&amp;",")),AND(OR(FAQs!$E8="both",Routes!$C$6="both",FAQs!$E8=Routes!$C$6),OR(Routes!$D$6="ALL",COUNTIF(Routes!$D$6:$G$6,FAQs!$C8)&gt;0,AND(FAQs!$D8&lt;&gt;"",COUNTIF(Routes!$D$6:$G$6,FAQs!$D8)&gt;0)))),"●","")</f>
        <v/>
      </c>
      <c r="H8" s="12" t="str">
        <f aca="false">IF(OR(ISNUMBER(SEARCH(","&amp;H$1&amp;",",","&amp;SUBSTITUTE(FAQs!$G8," ","")&amp;",")),AND(OR(FAQs!$E8="both",Routes!$C$7="both",FAQs!$E8=Routes!$C$7),OR(Routes!$D$7="ALL",COUNTIF(Routes!$D$7:$G$7,FAQs!$C8)&gt;0,AND(FAQs!$D8&lt;&gt;"",COUNTIF(Routes!$D$7:$G$7,FAQs!$D8)&gt;0)))),"●","")</f>
        <v/>
      </c>
      <c r="I8" s="12" t="str">
        <f aca="false">IF(OR(ISNUMBER(SEARCH(","&amp;I$1&amp;",",","&amp;SUBSTITUTE(FAQs!$G8," ","")&amp;",")),AND(OR(FAQs!$E8="both",Routes!$C$8="both",FAQs!$E8=Routes!$C$8),OR(Routes!$D$8="ALL",COUNTIF(Routes!$D$8:$G$8,FAQs!$C8)&gt;0,AND(FAQs!$D8&lt;&gt;"",COUNTIF(Routes!$D$8:$G$8,FAQs!$D8)&gt;0)))),"●","")</f>
        <v/>
      </c>
      <c r="J8" s="12" t="str">
        <f aca="false">IF(OR(ISNUMBER(SEARCH(","&amp;J$1&amp;",",","&amp;SUBSTITUTE(FAQs!$G8," ","")&amp;",")),AND(OR(FAQs!$E8="both",Routes!$C$9="both",FAQs!$E8=Routes!$C$9),OR(Routes!$D$9="ALL",COUNTIF(Routes!$D$9:$G$9,FAQs!$C8)&gt;0,AND(FAQs!$D8&lt;&gt;"",COUNTIF(Routes!$D$9:$G$9,FAQs!$D8)&gt;0)))),"●","")</f>
        <v/>
      </c>
      <c r="K8" s="12" t="str">
        <f aca="false">IF(OR(ISNUMBER(SEARCH(","&amp;K$1&amp;",",","&amp;SUBSTITUTE(FAQs!$G8," ","")&amp;",")),AND(OR(FAQs!$E8="both",Routes!$C$10="both",FAQs!$E8=Routes!$C$10),OR(Routes!$D$10="ALL",COUNTIF(Routes!$D$10:$G$10,FAQs!$C8)&gt;0,AND(FAQs!$D8&lt;&gt;"",COUNTIF(Routes!$D$10:$G$10,FAQs!$D8)&gt;0)))),"●","")</f>
        <v>●</v>
      </c>
      <c r="L8" s="12" t="str">
        <f aca="false">IF(OR(ISNUMBER(SEARCH(","&amp;L$1&amp;",",","&amp;SUBSTITUTE(FAQs!$G8," ","")&amp;",")),AND(OR(FAQs!$E8="both",Routes!$C$11="both",FAQs!$E8=Routes!$C$11),OR(Routes!$D$11="ALL",COUNTIF(Routes!$D$11:$G$11,FAQs!$C8)&gt;0,AND(FAQs!$D8&lt;&gt;"",COUNTIF(Routes!$D$11:$G$11,FAQs!$D8)&gt;0)))),"●","")</f>
        <v/>
      </c>
      <c r="M8" s="12" t="str">
        <f aca="false">IF(OR(ISNUMBER(SEARCH(","&amp;M$1&amp;",",","&amp;SUBSTITUTE(FAQs!$G8," ","")&amp;",")),AND(OR(FAQs!$E8="both",Routes!$C$12="both",FAQs!$E8=Routes!$C$12),OR(Routes!$D$12="ALL",COUNTIF(Routes!$D$12:$G$12,FAQs!$C8)&gt;0,AND(FAQs!$D8&lt;&gt;"",COUNTIF(Routes!$D$12:$G$12,FAQs!$D8)&gt;0)))),"●","")</f>
        <v/>
      </c>
      <c r="N8" s="12" t="str">
        <f aca="false">IF(OR(ISNUMBER(SEARCH(","&amp;N$1&amp;",",","&amp;SUBSTITUTE(FAQs!$G8," ","")&amp;",")),AND(OR(FAQs!$E8="both",Routes!$C$13="both",FAQs!$E8=Routes!$C$13),OR(Routes!$D$13="ALL",COUNTIF(Routes!$D$13:$G$13,FAQs!$C8)&gt;0,AND(FAQs!$D8&lt;&gt;"",COUNTIF(Routes!$D$13:$G$13,FAQs!$D8)&gt;0)))),"●","")</f>
        <v>●</v>
      </c>
      <c r="O8" s="12" t="str">
        <f aca="false">IF(OR(ISNUMBER(SEARCH(","&amp;O$1&amp;",",","&amp;SUBSTITUTE(FAQs!$G8," ","")&amp;",")),AND(OR(FAQs!$E8="both",Routes!$C$14="both",FAQs!$E8=Routes!$C$14),OR(Routes!$D$14="ALL",COUNTIF(Routes!$D$14:$G$14,FAQs!$C8)&gt;0,AND(FAQs!$D8&lt;&gt;"",COUNTIF(Routes!$D$14:$G$14,FAQs!$D8)&gt;0)))),"●","")</f>
        <v>●</v>
      </c>
      <c r="P8" s="12" t="str">
        <f aca="false">IF(OR(ISNUMBER(SEARCH(","&amp;P$1&amp;",",","&amp;SUBSTITUTE(FAQs!$G8," ","")&amp;",")),AND(OR(FAQs!$E8="both",Routes!$C$15="both",FAQs!$E8=Routes!$C$15),OR(Routes!$D$15="ALL",COUNTIF(Routes!$D$15:$G$15,FAQs!$C8)&gt;0,AND(FAQs!$D8&lt;&gt;"",COUNTIF(Routes!$D$15:$G$15,FAQs!$D8)&gt;0)))),"●","")</f>
        <v/>
      </c>
      <c r="Q8" s="12" t="str">
        <f aca="false">IF(OR(ISNUMBER(SEARCH(","&amp;Q$1&amp;",",","&amp;SUBSTITUTE(FAQs!$G8," ","")&amp;",")),AND(OR(FAQs!$E8="both",Routes!$C$16="both",FAQs!$E8=Routes!$C$16),OR(Routes!$D$16="ALL",COUNTIF(Routes!$D$16:$G$16,FAQs!$C8)&gt;0,AND(FAQs!$D8&lt;&gt;"",COUNTIF(Routes!$D$16:$G$16,FAQs!$D8)&gt;0)))),"●","")</f>
        <v/>
      </c>
      <c r="R8" s="12" t="str">
        <f aca="false">IF(OR(ISNUMBER(SEARCH(","&amp;R$1&amp;",",","&amp;SUBSTITUTE(FAQs!$G8," ","")&amp;",")),AND(OR(FAQs!$E8="both",Routes!$C$17="both",FAQs!$E8=Routes!$C$17),OR(Routes!$D$17="ALL",COUNTIF(Routes!$D$17:$G$17,FAQs!$C8)&gt;0,AND(FAQs!$D8&lt;&gt;"",COUNTIF(Routes!$D$17:$G$17,FAQs!$D8)&gt;0)))),"●","")</f>
        <v/>
      </c>
      <c r="S8" s="12" t="str">
        <f aca="false">IF(OR(ISNUMBER(SEARCH(","&amp;S$1&amp;",",","&amp;SUBSTITUTE(FAQs!$G8," ","")&amp;",")),AND(OR(FAQs!$E8="both",Routes!$C$18="both",FAQs!$E8=Routes!$C$18),OR(Routes!$D$18="ALL",COUNTIF(Routes!$D$18:$G$18,FAQs!$C8)&gt;0,AND(FAQs!$D8&lt;&gt;"",COUNTIF(Routes!$D$18:$G$18,FAQs!$D8)&gt;0)))),"●","")</f>
        <v/>
      </c>
      <c r="T8" s="12" t="str">
        <f aca="false">IF(OR(ISNUMBER(SEARCH(","&amp;T$1&amp;",",","&amp;SUBSTITUTE(FAQs!$G8," ","")&amp;",")),AND(OR(FAQs!$E8="both",Routes!$C$19="both",FAQs!$E8=Routes!$C$19),OR(Routes!$D$19="ALL",COUNTIF(Routes!$D$19:$G$19,FAQs!$C8)&gt;0,AND(FAQs!$D8&lt;&gt;"",COUNTIF(Routes!$D$19:$G$19,FAQs!$D8)&gt;0)))),"●","")</f>
        <v/>
      </c>
      <c r="U8" s="9" t="n">
        <f aca="false">COUNTIF(C8:T8,"●")</f>
        <v>5</v>
      </c>
    </row>
    <row r="9" customFormat="false" ht="15" hidden="false" customHeight="false" outlineLevel="0" collapsed="false">
      <c r="A9" s="9" t="str">
        <f aca="false">FAQs!A9</f>
        <v>F08</v>
      </c>
      <c r="B9" s="9" t="str">
        <f aca="false">FAQs!H9</f>
        <v>When is breakfast served?</v>
      </c>
      <c r="C9" s="12" t="str">
        <f aca="false">IF(OR(ISNUMBER(SEARCH(","&amp;C$1&amp;",",","&amp;SUBSTITUTE(FAQs!$G9," ","")&amp;",")),AND(OR(FAQs!$E9="both",Routes!$C$2="both",FAQs!$E9=Routes!$C$2),OR(Routes!$D$2="ALL",COUNTIF(Routes!$D$2:$G$2,FAQs!$C9)&gt;0,AND(FAQs!$D9&lt;&gt;"",COUNTIF(Routes!$D$2:$G$2,FAQs!$D9)&gt;0)))),"●","")</f>
        <v/>
      </c>
      <c r="D9" s="12" t="str">
        <f aca="false">IF(OR(ISNUMBER(SEARCH(","&amp;D$1&amp;",",","&amp;SUBSTITUTE(FAQs!$G9," ","")&amp;",")),AND(OR(FAQs!$E9="both",Routes!$C$3="both",FAQs!$E9=Routes!$C$3),OR(Routes!$D$3="ALL",COUNTIF(Routes!$D$3:$G$3,FAQs!$C9)&gt;0,AND(FAQs!$D9&lt;&gt;"",COUNTIF(Routes!$D$3:$G$3,FAQs!$D9)&gt;0)))),"●","")</f>
        <v/>
      </c>
      <c r="E9" s="12" t="str">
        <f aca="false">IF(OR(ISNUMBER(SEARCH(","&amp;E$1&amp;",",","&amp;SUBSTITUTE(FAQs!$G9," ","")&amp;",")),AND(OR(FAQs!$E9="both",Routes!$C$4="both",FAQs!$E9=Routes!$C$4),OR(Routes!$D$4="ALL",COUNTIF(Routes!$D$4:$G$4,FAQs!$C9)&gt;0,AND(FAQs!$D9&lt;&gt;"",COUNTIF(Routes!$D$4:$G$4,FAQs!$D9)&gt;0)))),"●","")</f>
        <v/>
      </c>
      <c r="F9" s="12" t="str">
        <f aca="false">IF(OR(ISNUMBER(SEARCH(","&amp;F$1&amp;",",","&amp;SUBSTITUTE(FAQs!$G9," ","")&amp;",")),AND(OR(FAQs!$E9="both",Routes!$C$5="both",FAQs!$E9=Routes!$C$5),OR(Routes!$D$5="ALL",COUNTIF(Routes!$D$5:$G$5,FAQs!$C9)&gt;0,AND(FAQs!$D9&lt;&gt;"",COUNTIF(Routes!$D$5:$G$5,FAQs!$D9)&gt;0)))),"●","")</f>
        <v/>
      </c>
      <c r="G9" s="12" t="str">
        <f aca="false">IF(OR(ISNUMBER(SEARCH(","&amp;G$1&amp;",",","&amp;SUBSTITUTE(FAQs!$G9," ","")&amp;",")),AND(OR(FAQs!$E9="both",Routes!$C$6="both",FAQs!$E9=Routes!$C$6),OR(Routes!$D$6="ALL",COUNTIF(Routes!$D$6:$G$6,FAQs!$C9)&gt;0,AND(FAQs!$D9&lt;&gt;"",COUNTIF(Routes!$D$6:$G$6,FAQs!$D9)&gt;0)))),"●","")</f>
        <v/>
      </c>
      <c r="H9" s="12" t="str">
        <f aca="false">IF(OR(ISNUMBER(SEARCH(","&amp;H$1&amp;",",","&amp;SUBSTITUTE(FAQs!$G9," ","")&amp;",")),AND(OR(FAQs!$E9="both",Routes!$C$7="both",FAQs!$E9=Routes!$C$7),OR(Routes!$D$7="ALL",COUNTIF(Routes!$D$7:$G$7,FAQs!$C9)&gt;0,AND(FAQs!$D9&lt;&gt;"",COUNTIF(Routes!$D$7:$G$7,FAQs!$D9)&gt;0)))),"●","")</f>
        <v/>
      </c>
      <c r="I9" s="12" t="str">
        <f aca="false">IF(OR(ISNUMBER(SEARCH(","&amp;I$1&amp;",",","&amp;SUBSTITUTE(FAQs!$G9," ","")&amp;",")),AND(OR(FAQs!$E9="both",Routes!$C$8="both",FAQs!$E9=Routes!$C$8),OR(Routes!$D$8="ALL",COUNTIF(Routes!$D$8:$G$8,FAQs!$C9)&gt;0,AND(FAQs!$D9&lt;&gt;"",COUNTIF(Routes!$D$8:$G$8,FAQs!$D9)&gt;0)))),"●","")</f>
        <v/>
      </c>
      <c r="J9" s="12" t="str">
        <f aca="false">IF(OR(ISNUMBER(SEARCH(","&amp;J$1&amp;",",","&amp;SUBSTITUTE(FAQs!$G9," ","")&amp;",")),AND(OR(FAQs!$E9="both",Routes!$C$9="both",FAQs!$E9=Routes!$C$9),OR(Routes!$D$9="ALL",COUNTIF(Routes!$D$9:$G$9,FAQs!$C9)&gt;0,AND(FAQs!$D9&lt;&gt;"",COUNTIF(Routes!$D$9:$G$9,FAQs!$D9)&gt;0)))),"●","")</f>
        <v/>
      </c>
      <c r="K9" s="12" t="str">
        <f aca="false">IF(OR(ISNUMBER(SEARCH(","&amp;K$1&amp;",",","&amp;SUBSTITUTE(FAQs!$G9," ","")&amp;",")),AND(OR(FAQs!$E9="both",Routes!$C$10="both",FAQs!$E9=Routes!$C$10),OR(Routes!$D$10="ALL",COUNTIF(Routes!$D$10:$G$10,FAQs!$C9)&gt;0,AND(FAQs!$D9&lt;&gt;"",COUNTIF(Routes!$D$10:$G$10,FAQs!$D9)&gt;0)))),"●","")</f>
        <v>●</v>
      </c>
      <c r="L9" s="12" t="str">
        <f aca="false">IF(OR(ISNUMBER(SEARCH(","&amp;L$1&amp;",",","&amp;SUBSTITUTE(FAQs!$G9," ","")&amp;",")),AND(OR(FAQs!$E9="both",Routes!$C$11="both",FAQs!$E9=Routes!$C$11),OR(Routes!$D$11="ALL",COUNTIF(Routes!$D$11:$G$11,FAQs!$C9)&gt;0,AND(FAQs!$D9&lt;&gt;"",COUNTIF(Routes!$D$11:$G$11,FAQs!$D9)&gt;0)))),"●","")</f>
        <v>●</v>
      </c>
      <c r="M9" s="12" t="str">
        <f aca="false">IF(OR(ISNUMBER(SEARCH(","&amp;M$1&amp;",",","&amp;SUBSTITUTE(FAQs!$G9," ","")&amp;",")),AND(OR(FAQs!$E9="both",Routes!$C$12="both",FAQs!$E9=Routes!$C$12),OR(Routes!$D$12="ALL",COUNTIF(Routes!$D$12:$G$12,FAQs!$C9)&gt;0,AND(FAQs!$D9&lt;&gt;"",COUNTIF(Routes!$D$12:$G$12,FAQs!$D9)&gt;0)))),"●","")</f>
        <v>●</v>
      </c>
      <c r="N9" s="12" t="str">
        <f aca="false">IF(OR(ISNUMBER(SEARCH(","&amp;N$1&amp;",",","&amp;SUBSTITUTE(FAQs!$G9," ","")&amp;",")),AND(OR(FAQs!$E9="both",Routes!$C$13="both",FAQs!$E9=Routes!$C$13),OR(Routes!$D$13="ALL",COUNTIF(Routes!$D$13:$G$13,FAQs!$C9)&gt;0,AND(FAQs!$D9&lt;&gt;"",COUNTIF(Routes!$D$13:$G$13,FAQs!$D9)&gt;0)))),"●","")</f>
        <v/>
      </c>
      <c r="O9" s="12" t="str">
        <f aca="false">IF(OR(ISNUMBER(SEARCH(","&amp;O$1&amp;",",","&amp;SUBSTITUTE(FAQs!$G9," ","")&amp;",")),AND(OR(FAQs!$E9="both",Routes!$C$14="both",FAQs!$E9=Routes!$C$14),OR(Routes!$D$14="ALL",COUNTIF(Routes!$D$14:$G$14,FAQs!$C9)&gt;0,AND(FAQs!$D9&lt;&gt;"",COUNTIF(Routes!$D$14:$G$14,FAQs!$D9)&gt;0)))),"●","")</f>
        <v>●</v>
      </c>
      <c r="P9" s="12" t="str">
        <f aca="false">IF(OR(ISNUMBER(SEARCH(","&amp;P$1&amp;",",","&amp;SUBSTITUTE(FAQs!$G9," ","")&amp;",")),AND(OR(FAQs!$E9="both",Routes!$C$15="both",FAQs!$E9=Routes!$C$15),OR(Routes!$D$15="ALL",COUNTIF(Routes!$D$15:$G$15,FAQs!$C9)&gt;0,AND(FAQs!$D9&lt;&gt;"",COUNTIF(Routes!$D$15:$G$15,FAQs!$D9)&gt;0)))),"●","")</f>
        <v/>
      </c>
      <c r="Q9" s="12" t="str">
        <f aca="false">IF(OR(ISNUMBER(SEARCH(","&amp;Q$1&amp;",",","&amp;SUBSTITUTE(FAQs!$G9," ","")&amp;",")),AND(OR(FAQs!$E9="both",Routes!$C$16="both",FAQs!$E9=Routes!$C$16),OR(Routes!$D$16="ALL",COUNTIF(Routes!$D$16:$G$16,FAQs!$C9)&gt;0,AND(FAQs!$D9&lt;&gt;"",COUNTIF(Routes!$D$16:$G$16,FAQs!$D9)&gt;0)))),"●","")</f>
        <v/>
      </c>
      <c r="R9" s="12" t="str">
        <f aca="false">IF(OR(ISNUMBER(SEARCH(","&amp;R$1&amp;",",","&amp;SUBSTITUTE(FAQs!$G9," ","")&amp;",")),AND(OR(FAQs!$E9="both",Routes!$C$17="both",FAQs!$E9=Routes!$C$17),OR(Routes!$D$17="ALL",COUNTIF(Routes!$D$17:$G$17,FAQs!$C9)&gt;0,AND(FAQs!$D9&lt;&gt;"",COUNTIF(Routes!$D$17:$G$17,FAQs!$D9)&gt;0)))),"●","")</f>
        <v/>
      </c>
      <c r="S9" s="12" t="str">
        <f aca="false">IF(OR(ISNUMBER(SEARCH(","&amp;S$1&amp;",",","&amp;SUBSTITUTE(FAQs!$G9," ","")&amp;",")),AND(OR(FAQs!$E9="both",Routes!$C$18="both",FAQs!$E9=Routes!$C$18),OR(Routes!$D$18="ALL",COUNTIF(Routes!$D$18:$G$18,FAQs!$C9)&gt;0,AND(FAQs!$D9&lt;&gt;"",COUNTIF(Routes!$D$18:$G$18,FAQs!$D9)&gt;0)))),"●","")</f>
        <v/>
      </c>
      <c r="T9" s="12" t="str">
        <f aca="false">IF(OR(ISNUMBER(SEARCH(","&amp;T$1&amp;",",","&amp;SUBSTITUTE(FAQs!$G9," ","")&amp;",")),AND(OR(FAQs!$E9="both",Routes!$C$19="both",FAQs!$E9=Routes!$C$19),OR(Routes!$D$19="ALL",COUNTIF(Routes!$D$19:$G$19,FAQs!$C9)&gt;0,AND(FAQs!$D9&lt;&gt;"",COUNTIF(Routes!$D$19:$G$19,FAQs!$D9)&gt;0)))),"●","")</f>
        <v/>
      </c>
      <c r="U9" s="9" t="n">
        <f aca="false">COUNTIF(C9:T9,"●")</f>
        <v>4</v>
      </c>
    </row>
    <row r="10" customFormat="false" ht="15" hidden="false" customHeight="false" outlineLevel="0" collapsed="false">
      <c r="A10" s="9" t="str">
        <f aca="false">FAQs!A10</f>
        <v>F09</v>
      </c>
      <c r="B10" s="9" t="str">
        <f aca="false">FAQs!H10</f>
        <v>Where is the breakfast restaurant?</v>
      </c>
      <c r="C10" s="12" t="str">
        <f aca="false">IF(OR(ISNUMBER(SEARCH(","&amp;C$1&amp;",",","&amp;SUBSTITUTE(FAQs!$G10," ","")&amp;",")),AND(OR(FAQs!$E10="both",Routes!$C$2="both",FAQs!$E10=Routes!$C$2),OR(Routes!$D$2="ALL",COUNTIF(Routes!$D$2:$G$2,FAQs!$C10)&gt;0,AND(FAQs!$D10&lt;&gt;"",COUNTIF(Routes!$D$2:$G$2,FAQs!$D10)&gt;0)))),"●","")</f>
        <v/>
      </c>
      <c r="D10" s="12" t="str">
        <f aca="false">IF(OR(ISNUMBER(SEARCH(","&amp;D$1&amp;",",","&amp;SUBSTITUTE(FAQs!$G10," ","")&amp;",")),AND(OR(FAQs!$E10="both",Routes!$C$3="both",FAQs!$E10=Routes!$C$3),OR(Routes!$D$3="ALL",COUNTIF(Routes!$D$3:$G$3,FAQs!$C10)&gt;0,AND(FAQs!$D10&lt;&gt;"",COUNTIF(Routes!$D$3:$G$3,FAQs!$D10)&gt;0)))),"●","")</f>
        <v/>
      </c>
      <c r="E10" s="12" t="str">
        <f aca="false">IF(OR(ISNUMBER(SEARCH(","&amp;E$1&amp;",",","&amp;SUBSTITUTE(FAQs!$G10," ","")&amp;",")),AND(OR(FAQs!$E10="both",Routes!$C$4="both",FAQs!$E10=Routes!$C$4),OR(Routes!$D$4="ALL",COUNTIF(Routes!$D$4:$G$4,FAQs!$C10)&gt;0,AND(FAQs!$D10&lt;&gt;"",COUNTIF(Routes!$D$4:$G$4,FAQs!$D10)&gt;0)))),"●","")</f>
        <v/>
      </c>
      <c r="F10" s="12" t="str">
        <f aca="false">IF(OR(ISNUMBER(SEARCH(","&amp;F$1&amp;",",","&amp;SUBSTITUTE(FAQs!$G10," ","")&amp;",")),AND(OR(FAQs!$E10="both",Routes!$C$5="both",FAQs!$E10=Routes!$C$5),OR(Routes!$D$5="ALL",COUNTIF(Routes!$D$5:$G$5,FAQs!$C10)&gt;0,AND(FAQs!$D10&lt;&gt;"",COUNTIF(Routes!$D$5:$G$5,FAQs!$D10)&gt;0)))),"●","")</f>
        <v/>
      </c>
      <c r="G10" s="12" t="str">
        <f aca="false">IF(OR(ISNUMBER(SEARCH(","&amp;G$1&amp;",",","&amp;SUBSTITUTE(FAQs!$G10," ","")&amp;",")),AND(OR(FAQs!$E10="both",Routes!$C$6="both",FAQs!$E10=Routes!$C$6),OR(Routes!$D$6="ALL",COUNTIF(Routes!$D$6:$G$6,FAQs!$C10)&gt;0,AND(FAQs!$D10&lt;&gt;"",COUNTIF(Routes!$D$6:$G$6,FAQs!$D10)&gt;0)))),"●","")</f>
        <v/>
      </c>
      <c r="H10" s="12" t="str">
        <f aca="false">IF(OR(ISNUMBER(SEARCH(","&amp;H$1&amp;",",","&amp;SUBSTITUTE(FAQs!$G10," ","")&amp;",")),AND(OR(FAQs!$E10="both",Routes!$C$7="both",FAQs!$E10=Routes!$C$7),OR(Routes!$D$7="ALL",COUNTIF(Routes!$D$7:$G$7,FAQs!$C10)&gt;0,AND(FAQs!$D10&lt;&gt;"",COUNTIF(Routes!$D$7:$G$7,FAQs!$D10)&gt;0)))),"●","")</f>
        <v/>
      </c>
      <c r="I10" s="12" t="str">
        <f aca="false">IF(OR(ISNUMBER(SEARCH(","&amp;I$1&amp;",",","&amp;SUBSTITUTE(FAQs!$G10," ","")&amp;",")),AND(OR(FAQs!$E10="both",Routes!$C$8="both",FAQs!$E10=Routes!$C$8),OR(Routes!$D$8="ALL",COUNTIF(Routes!$D$8:$G$8,FAQs!$C10)&gt;0,AND(FAQs!$D10&lt;&gt;"",COUNTIF(Routes!$D$8:$G$8,FAQs!$D10)&gt;0)))),"●","")</f>
        <v/>
      </c>
      <c r="J10" s="12" t="str">
        <f aca="false">IF(OR(ISNUMBER(SEARCH(","&amp;J$1&amp;",",","&amp;SUBSTITUTE(FAQs!$G10," ","")&amp;",")),AND(OR(FAQs!$E10="both",Routes!$C$9="both",FAQs!$E10=Routes!$C$9),OR(Routes!$D$9="ALL",COUNTIF(Routes!$D$9:$G$9,FAQs!$C10)&gt;0,AND(FAQs!$D10&lt;&gt;"",COUNTIF(Routes!$D$9:$G$9,FAQs!$D10)&gt;0)))),"●","")</f>
        <v/>
      </c>
      <c r="K10" s="12" t="str">
        <f aca="false">IF(OR(ISNUMBER(SEARCH(","&amp;K$1&amp;",",","&amp;SUBSTITUTE(FAQs!$G10," ","")&amp;",")),AND(OR(FAQs!$E10="both",Routes!$C$10="both",FAQs!$E10=Routes!$C$10),OR(Routes!$D$10="ALL",COUNTIF(Routes!$D$10:$G$10,FAQs!$C10)&gt;0,AND(FAQs!$D10&lt;&gt;"",COUNTIF(Routes!$D$10:$G$10,FAQs!$D10)&gt;0)))),"●","")</f>
        <v/>
      </c>
      <c r="L10" s="12" t="str">
        <f aca="false">IF(OR(ISNUMBER(SEARCH(","&amp;L$1&amp;",",","&amp;SUBSTITUTE(FAQs!$G10," ","")&amp;",")),AND(OR(FAQs!$E10="both",Routes!$C$11="both",FAQs!$E10=Routes!$C$11),OR(Routes!$D$11="ALL",COUNTIF(Routes!$D$11:$G$11,FAQs!$C10)&gt;0,AND(FAQs!$D10&lt;&gt;"",COUNTIF(Routes!$D$11:$G$11,FAQs!$D10)&gt;0)))),"●","")</f>
        <v>●</v>
      </c>
      <c r="M10" s="12" t="str">
        <f aca="false">IF(OR(ISNUMBER(SEARCH(","&amp;M$1&amp;",",","&amp;SUBSTITUTE(FAQs!$G10," ","")&amp;",")),AND(OR(FAQs!$E10="both",Routes!$C$12="both",FAQs!$E10=Routes!$C$12),OR(Routes!$D$12="ALL",COUNTIF(Routes!$D$12:$G$12,FAQs!$C10)&gt;0,AND(FAQs!$D10&lt;&gt;"",COUNTIF(Routes!$D$12:$G$12,FAQs!$D10)&gt;0)))),"●","")</f>
        <v>●</v>
      </c>
      <c r="N10" s="12" t="str">
        <f aca="false">IF(OR(ISNUMBER(SEARCH(","&amp;N$1&amp;",",","&amp;SUBSTITUTE(FAQs!$G10," ","")&amp;",")),AND(OR(FAQs!$E10="both",Routes!$C$13="both",FAQs!$E10=Routes!$C$13),OR(Routes!$D$13="ALL",COUNTIF(Routes!$D$13:$G$13,FAQs!$C10)&gt;0,AND(FAQs!$D10&lt;&gt;"",COUNTIF(Routes!$D$13:$G$13,FAQs!$D10)&gt;0)))),"●","")</f>
        <v/>
      </c>
      <c r="O10" s="12" t="str">
        <f aca="false">IF(OR(ISNUMBER(SEARCH(","&amp;O$1&amp;",",","&amp;SUBSTITUTE(FAQs!$G10," ","")&amp;",")),AND(OR(FAQs!$E10="both",Routes!$C$14="both",FAQs!$E10=Routes!$C$14),OR(Routes!$D$14="ALL",COUNTIF(Routes!$D$14:$G$14,FAQs!$C10)&gt;0,AND(FAQs!$D10&lt;&gt;"",COUNTIF(Routes!$D$14:$G$14,FAQs!$D10)&gt;0)))),"●","")</f>
        <v>●</v>
      </c>
      <c r="P10" s="12" t="str">
        <f aca="false">IF(OR(ISNUMBER(SEARCH(","&amp;P$1&amp;",",","&amp;SUBSTITUTE(FAQs!$G10," ","")&amp;",")),AND(OR(FAQs!$E10="both",Routes!$C$15="both",FAQs!$E10=Routes!$C$15),OR(Routes!$D$15="ALL",COUNTIF(Routes!$D$15:$G$15,FAQs!$C10)&gt;0,AND(FAQs!$D10&lt;&gt;"",COUNTIF(Routes!$D$15:$G$15,FAQs!$D10)&gt;0)))),"●","")</f>
        <v/>
      </c>
      <c r="Q10" s="12" t="str">
        <f aca="false">IF(OR(ISNUMBER(SEARCH(","&amp;Q$1&amp;",",","&amp;SUBSTITUTE(FAQs!$G10," ","")&amp;",")),AND(OR(FAQs!$E10="both",Routes!$C$16="both",FAQs!$E10=Routes!$C$16),OR(Routes!$D$16="ALL",COUNTIF(Routes!$D$16:$G$16,FAQs!$C10)&gt;0,AND(FAQs!$D10&lt;&gt;"",COUNTIF(Routes!$D$16:$G$16,FAQs!$D10)&gt;0)))),"●","")</f>
        <v/>
      </c>
      <c r="R10" s="12" t="str">
        <f aca="false">IF(OR(ISNUMBER(SEARCH(","&amp;R$1&amp;",",","&amp;SUBSTITUTE(FAQs!$G10," ","")&amp;",")),AND(OR(FAQs!$E10="both",Routes!$C$17="both",FAQs!$E10=Routes!$C$17),OR(Routes!$D$17="ALL",COUNTIF(Routes!$D$17:$G$17,FAQs!$C10)&gt;0,AND(FAQs!$D10&lt;&gt;"",COUNTIF(Routes!$D$17:$G$17,FAQs!$D10)&gt;0)))),"●","")</f>
        <v/>
      </c>
      <c r="S10" s="12" t="str">
        <f aca="false">IF(OR(ISNUMBER(SEARCH(","&amp;S$1&amp;",",","&amp;SUBSTITUTE(FAQs!$G10," ","")&amp;",")),AND(OR(FAQs!$E10="both",Routes!$C$18="both",FAQs!$E10=Routes!$C$18),OR(Routes!$D$18="ALL",COUNTIF(Routes!$D$18:$G$18,FAQs!$C10)&gt;0,AND(FAQs!$D10&lt;&gt;"",COUNTIF(Routes!$D$18:$G$18,FAQs!$D10)&gt;0)))),"●","")</f>
        <v/>
      </c>
      <c r="T10" s="12" t="str">
        <f aca="false">IF(OR(ISNUMBER(SEARCH(","&amp;T$1&amp;",",","&amp;SUBSTITUTE(FAQs!$G10," ","")&amp;",")),AND(OR(FAQs!$E10="both",Routes!$C$19="both",FAQs!$E10=Routes!$C$19),OR(Routes!$D$19="ALL",COUNTIF(Routes!$D$19:$G$19,FAQs!$C10)&gt;0,AND(FAQs!$D10&lt;&gt;"",COUNTIF(Routes!$D$19:$G$19,FAQs!$D10)&gt;0)))),"●","")</f>
        <v/>
      </c>
      <c r="U10" s="9" t="n">
        <f aca="false">COUNTIF(C10:T10,"●")</f>
        <v>3</v>
      </c>
    </row>
    <row r="11" customFormat="false" ht="15" hidden="false" customHeight="false" outlineLevel="0" collapsed="false">
      <c r="A11" s="9" t="str">
        <f aca="false">FAQs!A11</f>
        <v>F10</v>
      </c>
      <c r="B11" s="9" t="str">
        <f aca="false">FAQs!H11</f>
        <v>Can I book breakfast after I've booked my room, and what does it cost?</v>
      </c>
      <c r="C11" s="12" t="str">
        <f aca="false">IF(OR(ISNUMBER(SEARCH(","&amp;C$1&amp;",",","&amp;SUBSTITUTE(FAQs!$G11," ","")&amp;",")),AND(OR(FAQs!$E11="both",Routes!$C$2="both",FAQs!$E11=Routes!$C$2),OR(Routes!$D$2="ALL",COUNTIF(Routes!$D$2:$G$2,FAQs!$C11)&gt;0,AND(FAQs!$D11&lt;&gt;"",COUNTIF(Routes!$D$2:$G$2,FAQs!$D11)&gt;0)))),"●","")</f>
        <v/>
      </c>
      <c r="D11" s="12" t="str">
        <f aca="false">IF(OR(ISNUMBER(SEARCH(","&amp;D$1&amp;",",","&amp;SUBSTITUTE(FAQs!$G11," ","")&amp;",")),AND(OR(FAQs!$E11="both",Routes!$C$3="both",FAQs!$E11=Routes!$C$3),OR(Routes!$D$3="ALL",COUNTIF(Routes!$D$3:$G$3,FAQs!$C11)&gt;0,AND(FAQs!$D11&lt;&gt;"",COUNTIF(Routes!$D$3:$G$3,FAQs!$D11)&gt;0)))),"●","")</f>
        <v/>
      </c>
      <c r="E11" s="12" t="str">
        <f aca="false">IF(OR(ISNUMBER(SEARCH(","&amp;E$1&amp;",",","&amp;SUBSTITUTE(FAQs!$G11," ","")&amp;",")),AND(OR(FAQs!$E11="both",Routes!$C$4="both",FAQs!$E11=Routes!$C$4),OR(Routes!$D$4="ALL",COUNTIF(Routes!$D$4:$G$4,FAQs!$C11)&gt;0,AND(FAQs!$D11&lt;&gt;"",COUNTIF(Routes!$D$4:$G$4,FAQs!$D11)&gt;0)))),"●","")</f>
        <v/>
      </c>
      <c r="F11" s="12" t="str">
        <f aca="false">IF(OR(ISNUMBER(SEARCH(","&amp;F$1&amp;",",","&amp;SUBSTITUTE(FAQs!$G11," ","")&amp;",")),AND(OR(FAQs!$E11="both",Routes!$C$5="both",FAQs!$E11=Routes!$C$5),OR(Routes!$D$5="ALL",COUNTIF(Routes!$D$5:$G$5,FAQs!$C11)&gt;0,AND(FAQs!$D11&lt;&gt;"",COUNTIF(Routes!$D$5:$G$5,FAQs!$D11)&gt;0)))),"●","")</f>
        <v/>
      </c>
      <c r="G11" s="12" t="str">
        <f aca="false">IF(OR(ISNUMBER(SEARCH(","&amp;G$1&amp;",",","&amp;SUBSTITUTE(FAQs!$G11," ","")&amp;",")),AND(OR(FAQs!$E11="both",Routes!$C$6="both",FAQs!$E11=Routes!$C$6),OR(Routes!$D$6="ALL",COUNTIF(Routes!$D$6:$G$6,FAQs!$C11)&gt;0,AND(FAQs!$D11&lt;&gt;"",COUNTIF(Routes!$D$6:$G$6,FAQs!$D11)&gt;0)))),"●","")</f>
        <v/>
      </c>
      <c r="H11" s="12" t="str">
        <f aca="false">IF(OR(ISNUMBER(SEARCH(","&amp;H$1&amp;",",","&amp;SUBSTITUTE(FAQs!$G11," ","")&amp;",")),AND(OR(FAQs!$E11="both",Routes!$C$7="both",FAQs!$E11=Routes!$C$7),OR(Routes!$D$7="ALL",COUNTIF(Routes!$D$7:$G$7,FAQs!$C11)&gt;0,AND(FAQs!$D11&lt;&gt;"",COUNTIF(Routes!$D$7:$G$7,FAQs!$D11)&gt;0)))),"●","")</f>
        <v/>
      </c>
      <c r="I11" s="12" t="str">
        <f aca="false">IF(OR(ISNUMBER(SEARCH(","&amp;I$1&amp;",",","&amp;SUBSTITUTE(FAQs!$G11," ","")&amp;",")),AND(OR(FAQs!$E11="both",Routes!$C$8="both",FAQs!$E11=Routes!$C$8),OR(Routes!$D$8="ALL",COUNTIF(Routes!$D$8:$G$8,FAQs!$C11)&gt;0,AND(FAQs!$D11&lt;&gt;"",COUNTIF(Routes!$D$8:$G$8,FAQs!$D11)&gt;0)))),"●","")</f>
        <v/>
      </c>
      <c r="J11" s="12" t="str">
        <f aca="false">IF(OR(ISNUMBER(SEARCH(","&amp;J$1&amp;",",","&amp;SUBSTITUTE(FAQs!$G11," ","")&amp;",")),AND(OR(FAQs!$E11="both",Routes!$C$9="both",FAQs!$E11=Routes!$C$9),OR(Routes!$D$9="ALL",COUNTIF(Routes!$D$9:$G$9,FAQs!$C11)&gt;0,AND(FAQs!$D11&lt;&gt;"",COUNTIF(Routes!$D$9:$G$9,FAQs!$D11)&gt;0)))),"●","")</f>
        <v/>
      </c>
      <c r="K11" s="12" t="str">
        <f aca="false">IF(OR(ISNUMBER(SEARCH(","&amp;K$1&amp;",",","&amp;SUBSTITUTE(FAQs!$G11," ","")&amp;",")),AND(OR(FAQs!$E11="both",Routes!$C$10="both",FAQs!$E11=Routes!$C$10),OR(Routes!$D$10="ALL",COUNTIF(Routes!$D$10:$G$10,FAQs!$C11)&gt;0,AND(FAQs!$D11&lt;&gt;"",COUNTIF(Routes!$D$10:$G$10,FAQs!$D11)&gt;0)))),"●","")</f>
        <v>●</v>
      </c>
      <c r="L11" s="12" t="str">
        <f aca="false">IF(OR(ISNUMBER(SEARCH(","&amp;L$1&amp;",",","&amp;SUBSTITUTE(FAQs!$G11," ","")&amp;",")),AND(OR(FAQs!$E11="both",Routes!$C$11="both",FAQs!$E11=Routes!$C$11),OR(Routes!$D$11="ALL",COUNTIF(Routes!$D$11:$G$11,FAQs!$C11)&gt;0,AND(FAQs!$D11&lt;&gt;"",COUNTIF(Routes!$D$11:$G$11,FAQs!$D11)&gt;0)))),"●","")</f>
        <v>●</v>
      </c>
      <c r="M11" s="12" t="str">
        <f aca="false">IF(OR(ISNUMBER(SEARCH(","&amp;M$1&amp;",",","&amp;SUBSTITUTE(FAQs!$G11," ","")&amp;",")),AND(OR(FAQs!$E11="both",Routes!$C$12="both",FAQs!$E11=Routes!$C$12),OR(Routes!$D$12="ALL",COUNTIF(Routes!$D$12:$G$12,FAQs!$C11)&gt;0,AND(FAQs!$D11&lt;&gt;"",COUNTIF(Routes!$D$12:$G$12,FAQs!$D11)&gt;0)))),"●","")</f>
        <v>●</v>
      </c>
      <c r="N11" s="12" t="str">
        <f aca="false">IF(OR(ISNUMBER(SEARCH(","&amp;N$1&amp;",",","&amp;SUBSTITUTE(FAQs!$G11," ","")&amp;",")),AND(OR(FAQs!$E11="both",Routes!$C$13="both",FAQs!$E11=Routes!$C$13),OR(Routes!$D$13="ALL",COUNTIF(Routes!$D$13:$G$13,FAQs!$C11)&gt;0,AND(FAQs!$D11&lt;&gt;"",COUNTIF(Routes!$D$13:$G$13,FAQs!$D11)&gt;0)))),"●","")</f>
        <v/>
      </c>
      <c r="O11" s="12" t="str">
        <f aca="false">IF(OR(ISNUMBER(SEARCH(","&amp;O$1&amp;",",","&amp;SUBSTITUTE(FAQs!$G11," ","")&amp;",")),AND(OR(FAQs!$E11="both",Routes!$C$14="both",FAQs!$E11=Routes!$C$14),OR(Routes!$D$14="ALL",COUNTIF(Routes!$D$14:$G$14,FAQs!$C11)&gt;0,AND(FAQs!$D11&lt;&gt;"",COUNTIF(Routes!$D$14:$G$14,FAQs!$D11)&gt;0)))),"●","")</f>
        <v>●</v>
      </c>
      <c r="P11" s="12" t="str">
        <f aca="false">IF(OR(ISNUMBER(SEARCH(","&amp;P$1&amp;",",","&amp;SUBSTITUTE(FAQs!$G11," ","")&amp;",")),AND(OR(FAQs!$E11="both",Routes!$C$15="both",FAQs!$E11=Routes!$C$15),OR(Routes!$D$15="ALL",COUNTIF(Routes!$D$15:$G$15,FAQs!$C11)&gt;0,AND(FAQs!$D11&lt;&gt;"",COUNTIF(Routes!$D$15:$G$15,FAQs!$D11)&gt;0)))),"●","")</f>
        <v/>
      </c>
      <c r="Q11" s="12" t="str">
        <f aca="false">IF(OR(ISNUMBER(SEARCH(","&amp;Q$1&amp;",",","&amp;SUBSTITUTE(FAQs!$G11," ","")&amp;",")),AND(OR(FAQs!$E11="both",Routes!$C$16="both",FAQs!$E11=Routes!$C$16),OR(Routes!$D$16="ALL",COUNTIF(Routes!$D$16:$G$16,FAQs!$C11)&gt;0,AND(FAQs!$D11&lt;&gt;"",COUNTIF(Routes!$D$16:$G$16,FAQs!$D11)&gt;0)))),"●","")</f>
        <v/>
      </c>
      <c r="R11" s="12" t="str">
        <f aca="false">IF(OR(ISNUMBER(SEARCH(","&amp;R$1&amp;",",","&amp;SUBSTITUTE(FAQs!$G11," ","")&amp;",")),AND(OR(FAQs!$E11="both",Routes!$C$17="both",FAQs!$E11=Routes!$C$17),OR(Routes!$D$17="ALL",COUNTIF(Routes!$D$17:$G$17,FAQs!$C11)&gt;0,AND(FAQs!$D11&lt;&gt;"",COUNTIF(Routes!$D$17:$G$17,FAQs!$D11)&gt;0)))),"●","")</f>
        <v/>
      </c>
      <c r="S11" s="12" t="str">
        <f aca="false">IF(OR(ISNUMBER(SEARCH(","&amp;S$1&amp;",",","&amp;SUBSTITUTE(FAQs!$G11," ","")&amp;",")),AND(OR(FAQs!$E11="both",Routes!$C$18="both",FAQs!$E11=Routes!$C$18),OR(Routes!$D$18="ALL",COUNTIF(Routes!$D$18:$G$18,FAQs!$C11)&gt;0,AND(FAQs!$D11&lt;&gt;"",COUNTIF(Routes!$D$18:$G$18,FAQs!$D11)&gt;0)))),"●","")</f>
        <v>●</v>
      </c>
      <c r="T11" s="12" t="str">
        <f aca="false">IF(OR(ISNUMBER(SEARCH(","&amp;T$1&amp;",",","&amp;SUBSTITUTE(FAQs!$G11," ","")&amp;",")),AND(OR(FAQs!$E11="both",Routes!$C$19="both",FAQs!$E11=Routes!$C$19),OR(Routes!$D$19="ALL",COUNTIF(Routes!$D$19:$G$19,FAQs!$C11)&gt;0,AND(FAQs!$D11&lt;&gt;"",COUNTIF(Routes!$D$19:$G$19,FAQs!$D11)&gt;0)))),"●","")</f>
        <v/>
      </c>
      <c r="U11" s="9" t="n">
        <f aca="false">COUNTIF(C11:T11,"●")</f>
        <v>5</v>
      </c>
    </row>
    <row r="12" customFormat="false" ht="15" hidden="false" customHeight="false" outlineLevel="0" collapsed="false">
      <c r="A12" s="9" t="str">
        <f aca="false">FAQs!A12</f>
        <v>F11</v>
      </c>
      <c r="B12" s="9" t="str">
        <f aca="false">FAQs!H12</f>
        <v>Do you have room service?</v>
      </c>
      <c r="C12" s="12" t="str">
        <f aca="false">IF(OR(ISNUMBER(SEARCH(","&amp;C$1&amp;",",","&amp;SUBSTITUTE(FAQs!$G12," ","")&amp;",")),AND(OR(FAQs!$E12="both",Routes!$C$2="both",FAQs!$E12=Routes!$C$2),OR(Routes!$D$2="ALL",COUNTIF(Routes!$D$2:$G$2,FAQs!$C12)&gt;0,AND(FAQs!$D12&lt;&gt;"",COUNTIF(Routes!$D$2:$G$2,FAQs!$D12)&gt;0)))),"●","")</f>
        <v/>
      </c>
      <c r="D12" s="12" t="str">
        <f aca="false">IF(OR(ISNUMBER(SEARCH(","&amp;D$1&amp;",",","&amp;SUBSTITUTE(FAQs!$G12," ","")&amp;",")),AND(OR(FAQs!$E12="both",Routes!$C$3="both",FAQs!$E12=Routes!$C$3),OR(Routes!$D$3="ALL",COUNTIF(Routes!$D$3:$G$3,FAQs!$C12)&gt;0,AND(FAQs!$D12&lt;&gt;"",COUNTIF(Routes!$D$3:$G$3,FAQs!$D12)&gt;0)))),"●","")</f>
        <v>●</v>
      </c>
      <c r="E12" s="12" t="str">
        <f aca="false">IF(OR(ISNUMBER(SEARCH(","&amp;E$1&amp;",",","&amp;SUBSTITUTE(FAQs!$G12," ","")&amp;",")),AND(OR(FAQs!$E12="both",Routes!$C$4="both",FAQs!$E12=Routes!$C$4),OR(Routes!$D$4="ALL",COUNTIF(Routes!$D$4:$G$4,FAQs!$C12)&gt;0,AND(FAQs!$D12&lt;&gt;"",COUNTIF(Routes!$D$4:$G$4,FAQs!$D12)&gt;0)))),"●","")</f>
        <v>●</v>
      </c>
      <c r="F12" s="12" t="str">
        <f aca="false">IF(OR(ISNUMBER(SEARCH(","&amp;F$1&amp;",",","&amp;SUBSTITUTE(FAQs!$G12," ","")&amp;",")),AND(OR(FAQs!$E12="both",Routes!$C$5="both",FAQs!$E12=Routes!$C$5),OR(Routes!$D$5="ALL",COUNTIF(Routes!$D$5:$G$5,FAQs!$C12)&gt;0,AND(FAQs!$D12&lt;&gt;"",COUNTIF(Routes!$D$5:$G$5,FAQs!$D12)&gt;0)))),"●","")</f>
        <v/>
      </c>
      <c r="G12" s="12" t="str">
        <f aca="false">IF(OR(ISNUMBER(SEARCH(","&amp;G$1&amp;",",","&amp;SUBSTITUTE(FAQs!$G12," ","")&amp;",")),AND(OR(FAQs!$E12="both",Routes!$C$6="both",FAQs!$E12=Routes!$C$6),OR(Routes!$D$6="ALL",COUNTIF(Routes!$D$6:$G$6,FAQs!$C12)&gt;0,AND(FAQs!$D12&lt;&gt;"",COUNTIF(Routes!$D$6:$G$6,FAQs!$D12)&gt;0)))),"●","")</f>
        <v/>
      </c>
      <c r="H12" s="12" t="str">
        <f aca="false">IF(OR(ISNUMBER(SEARCH(","&amp;H$1&amp;",",","&amp;SUBSTITUTE(FAQs!$G12," ","")&amp;",")),AND(OR(FAQs!$E12="both",Routes!$C$7="both",FAQs!$E12=Routes!$C$7),OR(Routes!$D$7="ALL",COUNTIF(Routes!$D$7:$G$7,FAQs!$C12)&gt;0,AND(FAQs!$D12&lt;&gt;"",COUNTIF(Routes!$D$7:$G$7,FAQs!$D12)&gt;0)))),"●","")</f>
        <v/>
      </c>
      <c r="I12" s="12" t="str">
        <f aca="false">IF(OR(ISNUMBER(SEARCH(","&amp;I$1&amp;",",","&amp;SUBSTITUTE(FAQs!$G12," ","")&amp;",")),AND(OR(FAQs!$E12="both",Routes!$C$8="both",FAQs!$E12=Routes!$C$8),OR(Routes!$D$8="ALL",COUNTIF(Routes!$D$8:$G$8,FAQs!$C12)&gt;0,AND(FAQs!$D12&lt;&gt;"",COUNTIF(Routes!$D$8:$G$8,FAQs!$D12)&gt;0)))),"●","")</f>
        <v/>
      </c>
      <c r="J12" s="12" t="str">
        <f aca="false">IF(OR(ISNUMBER(SEARCH(","&amp;J$1&amp;",",","&amp;SUBSTITUTE(FAQs!$G12," ","")&amp;",")),AND(OR(FAQs!$E12="both",Routes!$C$9="both",FAQs!$E12=Routes!$C$9),OR(Routes!$D$9="ALL",COUNTIF(Routes!$D$9:$G$9,FAQs!$C12)&gt;0,AND(FAQs!$D12&lt;&gt;"",COUNTIF(Routes!$D$9:$G$9,FAQs!$D12)&gt;0)))),"●","")</f>
        <v/>
      </c>
      <c r="K12" s="12" t="str">
        <f aca="false">IF(OR(ISNUMBER(SEARCH(","&amp;K$1&amp;",",","&amp;SUBSTITUTE(FAQs!$G12," ","")&amp;",")),AND(OR(FAQs!$E12="both",Routes!$C$10="both",FAQs!$E12=Routes!$C$10),OR(Routes!$D$10="ALL",COUNTIF(Routes!$D$10:$G$10,FAQs!$C12)&gt;0,AND(FAQs!$D12&lt;&gt;"",COUNTIF(Routes!$D$10:$G$10,FAQs!$D12)&gt;0)))),"●","")</f>
        <v>●</v>
      </c>
      <c r="L12" s="12" t="str">
        <f aca="false">IF(OR(ISNUMBER(SEARCH(","&amp;L$1&amp;",",","&amp;SUBSTITUTE(FAQs!$G12," ","")&amp;",")),AND(OR(FAQs!$E12="both",Routes!$C$11="both",FAQs!$E12=Routes!$C$11),OR(Routes!$D$11="ALL",COUNTIF(Routes!$D$11:$G$11,FAQs!$C12)&gt;0,AND(FAQs!$D12&lt;&gt;"",COUNTIF(Routes!$D$11:$G$11,FAQs!$D12)&gt;0)))),"●","")</f>
        <v/>
      </c>
      <c r="M12" s="12" t="str">
        <f aca="false">IF(OR(ISNUMBER(SEARCH(","&amp;M$1&amp;",",","&amp;SUBSTITUTE(FAQs!$G12," ","")&amp;",")),AND(OR(FAQs!$E12="both",Routes!$C$12="both",FAQs!$E12=Routes!$C$12),OR(Routes!$D$12="ALL",COUNTIF(Routes!$D$12:$G$12,FAQs!$C12)&gt;0,AND(FAQs!$D12&lt;&gt;"",COUNTIF(Routes!$D$12:$G$12,FAQs!$D12)&gt;0)))),"●","")</f>
        <v>●</v>
      </c>
      <c r="N12" s="12" t="str">
        <f aca="false">IF(OR(ISNUMBER(SEARCH(","&amp;N$1&amp;",",","&amp;SUBSTITUTE(FAQs!$G12," ","")&amp;",")),AND(OR(FAQs!$E12="both",Routes!$C$13="both",FAQs!$E12=Routes!$C$13),OR(Routes!$D$13="ALL",COUNTIF(Routes!$D$13:$G$13,FAQs!$C12)&gt;0,AND(FAQs!$D12&lt;&gt;"",COUNTIF(Routes!$D$13:$G$13,FAQs!$D12)&gt;0)))),"●","")</f>
        <v/>
      </c>
      <c r="O12" s="12" t="str">
        <f aca="false">IF(OR(ISNUMBER(SEARCH(","&amp;O$1&amp;",",","&amp;SUBSTITUTE(FAQs!$G12," ","")&amp;",")),AND(OR(FAQs!$E12="both",Routes!$C$14="both",FAQs!$E12=Routes!$C$14),OR(Routes!$D$14="ALL",COUNTIF(Routes!$D$14:$G$14,FAQs!$C12)&gt;0,AND(FAQs!$D12&lt;&gt;"",COUNTIF(Routes!$D$14:$G$14,FAQs!$D12)&gt;0)))),"●","")</f>
        <v>●</v>
      </c>
      <c r="P12" s="12" t="str">
        <f aca="false">IF(OR(ISNUMBER(SEARCH(","&amp;P$1&amp;",",","&amp;SUBSTITUTE(FAQs!$G12," ","")&amp;",")),AND(OR(FAQs!$E12="both",Routes!$C$15="both",FAQs!$E12=Routes!$C$15),OR(Routes!$D$15="ALL",COUNTIF(Routes!$D$15:$G$15,FAQs!$C12)&gt;0,AND(FAQs!$D12&lt;&gt;"",COUNTIF(Routes!$D$15:$G$15,FAQs!$D12)&gt;0)))),"●","")</f>
        <v/>
      </c>
      <c r="Q12" s="12" t="str">
        <f aca="false">IF(OR(ISNUMBER(SEARCH(","&amp;Q$1&amp;",",","&amp;SUBSTITUTE(FAQs!$G12," ","")&amp;",")),AND(OR(FAQs!$E12="both",Routes!$C$16="both",FAQs!$E12=Routes!$C$16),OR(Routes!$D$16="ALL",COUNTIF(Routes!$D$16:$G$16,FAQs!$C12)&gt;0,AND(FAQs!$D12&lt;&gt;"",COUNTIF(Routes!$D$16:$G$16,FAQs!$D12)&gt;0)))),"●","")</f>
        <v/>
      </c>
      <c r="R12" s="12" t="str">
        <f aca="false">IF(OR(ISNUMBER(SEARCH(","&amp;R$1&amp;",",","&amp;SUBSTITUTE(FAQs!$G12," ","")&amp;",")),AND(OR(FAQs!$E12="both",Routes!$C$17="both",FAQs!$E12=Routes!$C$17),OR(Routes!$D$17="ALL",COUNTIF(Routes!$D$17:$G$17,FAQs!$C12)&gt;0,AND(FAQs!$D12&lt;&gt;"",COUNTIF(Routes!$D$17:$G$17,FAQs!$D12)&gt;0)))),"●","")</f>
        <v/>
      </c>
      <c r="S12" s="12" t="str">
        <f aca="false">IF(OR(ISNUMBER(SEARCH(","&amp;S$1&amp;",",","&amp;SUBSTITUTE(FAQs!$G12," ","")&amp;",")),AND(OR(FAQs!$E12="both",Routes!$C$18="both",FAQs!$E12=Routes!$C$18),OR(Routes!$D$18="ALL",COUNTIF(Routes!$D$18:$G$18,FAQs!$C12)&gt;0,AND(FAQs!$D12&lt;&gt;"",COUNTIF(Routes!$D$18:$G$18,FAQs!$D12)&gt;0)))),"●","")</f>
        <v/>
      </c>
      <c r="T12" s="12" t="str">
        <f aca="false">IF(OR(ISNUMBER(SEARCH(","&amp;T$1&amp;",",","&amp;SUBSTITUTE(FAQs!$G12," ","")&amp;",")),AND(OR(FAQs!$E12="both",Routes!$C$19="both",FAQs!$E12=Routes!$C$19),OR(Routes!$D$19="ALL",COUNTIF(Routes!$D$19:$G$19,FAQs!$C12)&gt;0,AND(FAQs!$D12&lt;&gt;"",COUNTIF(Routes!$D$19:$G$19,FAQs!$D12)&gt;0)))),"●","")</f>
        <v/>
      </c>
      <c r="U12" s="9" t="n">
        <f aca="false">COUNTIF(C12:T12,"●")</f>
        <v>5</v>
      </c>
    </row>
    <row r="13" customFormat="false" ht="15" hidden="false" customHeight="false" outlineLevel="0" collapsed="false">
      <c r="A13" s="9" t="str">
        <f aca="false">FAQs!A13</f>
        <v>F12</v>
      </c>
      <c r="B13" s="9" t="str">
        <f aca="false">FAQs!H13</f>
        <v>How do I connect to the WiFi?</v>
      </c>
      <c r="C13" s="12" t="str">
        <f aca="false">IF(OR(ISNUMBER(SEARCH(","&amp;C$1&amp;",",","&amp;SUBSTITUTE(FAQs!$G13," ","")&amp;",")),AND(OR(FAQs!$E13="both",Routes!$C$2="both",FAQs!$E13=Routes!$C$2),OR(Routes!$D$2="ALL",COUNTIF(Routes!$D$2:$G$2,FAQs!$C13)&gt;0,AND(FAQs!$D13&lt;&gt;"",COUNTIF(Routes!$D$2:$G$2,FAQs!$D13)&gt;0)))),"●","")</f>
        <v/>
      </c>
      <c r="D13" s="12" t="str">
        <f aca="false">IF(OR(ISNUMBER(SEARCH(","&amp;D$1&amp;",",","&amp;SUBSTITUTE(FAQs!$G13," ","")&amp;",")),AND(OR(FAQs!$E13="both",Routes!$C$3="both",FAQs!$E13=Routes!$C$3),OR(Routes!$D$3="ALL",COUNTIF(Routes!$D$3:$G$3,FAQs!$C13)&gt;0,AND(FAQs!$D13&lt;&gt;"",COUNTIF(Routes!$D$3:$G$3,FAQs!$D13)&gt;0)))),"●","")</f>
        <v>●</v>
      </c>
      <c r="E13" s="12" t="str">
        <f aca="false">IF(OR(ISNUMBER(SEARCH(","&amp;E$1&amp;",",","&amp;SUBSTITUTE(FAQs!$G13," ","")&amp;",")),AND(OR(FAQs!$E13="both",Routes!$C$4="both",FAQs!$E13=Routes!$C$4),OR(Routes!$D$4="ALL",COUNTIF(Routes!$D$4:$G$4,FAQs!$C13)&gt;0,AND(FAQs!$D13&lt;&gt;"",COUNTIF(Routes!$D$4:$G$4,FAQs!$D13)&gt;0)))),"●","")</f>
        <v>●</v>
      </c>
      <c r="F13" s="12" t="str">
        <f aca="false">IF(OR(ISNUMBER(SEARCH(","&amp;F$1&amp;",",","&amp;SUBSTITUTE(FAQs!$G13," ","")&amp;",")),AND(OR(FAQs!$E13="both",Routes!$C$5="both",FAQs!$E13=Routes!$C$5),OR(Routes!$D$5="ALL",COUNTIF(Routes!$D$5:$G$5,FAQs!$C13)&gt;0,AND(FAQs!$D13&lt;&gt;"",COUNTIF(Routes!$D$5:$G$5,FAQs!$D13)&gt;0)))),"●","")</f>
        <v/>
      </c>
      <c r="G13" s="12" t="str">
        <f aca="false">IF(OR(ISNUMBER(SEARCH(","&amp;G$1&amp;",",","&amp;SUBSTITUTE(FAQs!$G13," ","")&amp;",")),AND(OR(FAQs!$E13="both",Routes!$C$6="both",FAQs!$E13=Routes!$C$6),OR(Routes!$D$6="ALL",COUNTIF(Routes!$D$6:$G$6,FAQs!$C13)&gt;0,AND(FAQs!$D13&lt;&gt;"",COUNTIF(Routes!$D$6:$G$6,FAQs!$D13)&gt;0)))),"●","")</f>
        <v/>
      </c>
      <c r="H13" s="12" t="str">
        <f aca="false">IF(OR(ISNUMBER(SEARCH(","&amp;H$1&amp;",",","&amp;SUBSTITUTE(FAQs!$G13," ","")&amp;",")),AND(OR(FAQs!$E13="both",Routes!$C$7="both",FAQs!$E13=Routes!$C$7),OR(Routes!$D$7="ALL",COUNTIF(Routes!$D$7:$G$7,FAQs!$C13)&gt;0,AND(FAQs!$D13&lt;&gt;"",COUNTIF(Routes!$D$7:$G$7,FAQs!$D13)&gt;0)))),"●","")</f>
        <v/>
      </c>
      <c r="I13" s="12" t="str">
        <f aca="false">IF(OR(ISNUMBER(SEARCH(","&amp;I$1&amp;",",","&amp;SUBSTITUTE(FAQs!$G13," ","")&amp;",")),AND(OR(FAQs!$E13="both",Routes!$C$8="both",FAQs!$E13=Routes!$C$8),OR(Routes!$D$8="ALL",COUNTIF(Routes!$D$8:$G$8,FAQs!$C13)&gt;0,AND(FAQs!$D13&lt;&gt;"",COUNTIF(Routes!$D$8:$G$8,FAQs!$D13)&gt;0)))),"●","")</f>
        <v/>
      </c>
      <c r="J13" s="12" t="str">
        <f aca="false">IF(OR(ISNUMBER(SEARCH(","&amp;J$1&amp;",",","&amp;SUBSTITUTE(FAQs!$G13," ","")&amp;",")),AND(OR(FAQs!$E13="both",Routes!$C$9="both",FAQs!$E13=Routes!$C$9),OR(Routes!$D$9="ALL",COUNTIF(Routes!$D$9:$G$9,FAQs!$C13)&gt;0,AND(FAQs!$D13&lt;&gt;"",COUNTIF(Routes!$D$9:$G$9,FAQs!$D13)&gt;0)))),"●","")</f>
        <v/>
      </c>
      <c r="K13" s="12" t="str">
        <f aca="false">IF(OR(ISNUMBER(SEARCH(","&amp;K$1&amp;",",","&amp;SUBSTITUTE(FAQs!$G13," ","")&amp;",")),AND(OR(FAQs!$E13="both",Routes!$C$10="both",FAQs!$E13=Routes!$C$10),OR(Routes!$D$10="ALL",COUNTIF(Routes!$D$10:$G$10,FAQs!$C13)&gt;0,AND(FAQs!$D13&lt;&gt;"",COUNTIF(Routes!$D$10:$G$10,FAQs!$D13)&gt;0)))),"●","")</f>
        <v>●</v>
      </c>
      <c r="L13" s="12" t="str">
        <f aca="false">IF(OR(ISNUMBER(SEARCH(","&amp;L$1&amp;",",","&amp;SUBSTITUTE(FAQs!$G13," ","")&amp;",")),AND(OR(FAQs!$E13="both",Routes!$C$11="both",FAQs!$E13=Routes!$C$11),OR(Routes!$D$11="ALL",COUNTIF(Routes!$D$11:$G$11,FAQs!$C13)&gt;0,AND(FAQs!$D13&lt;&gt;"",COUNTIF(Routes!$D$11:$G$11,FAQs!$D13)&gt;0)))),"●","")</f>
        <v>●</v>
      </c>
      <c r="M13" s="12" t="str">
        <f aca="false">IF(OR(ISNUMBER(SEARCH(","&amp;M$1&amp;",",","&amp;SUBSTITUTE(FAQs!$G13," ","")&amp;",")),AND(OR(FAQs!$E13="both",Routes!$C$12="both",FAQs!$E13=Routes!$C$12),OR(Routes!$D$12="ALL",COUNTIF(Routes!$D$12:$G$12,FAQs!$C13)&gt;0,AND(FAQs!$D13&lt;&gt;"",COUNTIF(Routes!$D$12:$G$12,FAQs!$D13)&gt;0)))),"●","")</f>
        <v/>
      </c>
      <c r="N13" s="12" t="str">
        <f aca="false">IF(OR(ISNUMBER(SEARCH(","&amp;N$1&amp;",",","&amp;SUBSTITUTE(FAQs!$G13," ","")&amp;",")),AND(OR(FAQs!$E13="both",Routes!$C$13="both",FAQs!$E13=Routes!$C$13),OR(Routes!$D$13="ALL",COUNTIF(Routes!$D$13:$G$13,FAQs!$C13)&gt;0,AND(FAQs!$D13&lt;&gt;"",COUNTIF(Routes!$D$13:$G$13,FAQs!$D13)&gt;0)))),"●","")</f>
        <v/>
      </c>
      <c r="O13" s="12" t="str">
        <f aca="false">IF(OR(ISNUMBER(SEARCH(","&amp;O$1&amp;",",","&amp;SUBSTITUTE(FAQs!$G13," ","")&amp;",")),AND(OR(FAQs!$E13="both",Routes!$C$14="both",FAQs!$E13=Routes!$C$14),OR(Routes!$D$14="ALL",COUNTIF(Routes!$D$14:$G$14,FAQs!$C13)&gt;0,AND(FAQs!$D13&lt;&gt;"",COUNTIF(Routes!$D$14:$G$14,FAQs!$D13)&gt;0)))),"●","")</f>
        <v>●</v>
      </c>
      <c r="P13" s="12" t="str">
        <f aca="false">IF(OR(ISNUMBER(SEARCH(","&amp;P$1&amp;",",","&amp;SUBSTITUTE(FAQs!$G13," ","")&amp;",")),AND(OR(FAQs!$E13="both",Routes!$C$15="both",FAQs!$E13=Routes!$C$15),OR(Routes!$D$15="ALL",COUNTIF(Routes!$D$15:$G$15,FAQs!$C13)&gt;0,AND(FAQs!$D13&lt;&gt;"",COUNTIF(Routes!$D$15:$G$15,FAQs!$D13)&gt;0)))),"●","")</f>
        <v/>
      </c>
      <c r="Q13" s="12" t="str">
        <f aca="false">IF(OR(ISNUMBER(SEARCH(","&amp;Q$1&amp;",",","&amp;SUBSTITUTE(FAQs!$G13," ","")&amp;",")),AND(OR(FAQs!$E13="both",Routes!$C$16="both",FAQs!$E13=Routes!$C$16),OR(Routes!$D$16="ALL",COUNTIF(Routes!$D$16:$G$16,FAQs!$C13)&gt;0,AND(FAQs!$D13&lt;&gt;"",COUNTIF(Routes!$D$16:$G$16,FAQs!$D13)&gt;0)))),"●","")</f>
        <v/>
      </c>
      <c r="R13" s="12" t="str">
        <f aca="false">IF(OR(ISNUMBER(SEARCH(","&amp;R$1&amp;",",","&amp;SUBSTITUTE(FAQs!$G13," ","")&amp;",")),AND(OR(FAQs!$E13="both",Routes!$C$17="both",FAQs!$E13=Routes!$C$17),OR(Routes!$D$17="ALL",COUNTIF(Routes!$D$17:$G$17,FAQs!$C13)&gt;0,AND(FAQs!$D13&lt;&gt;"",COUNTIF(Routes!$D$17:$G$17,FAQs!$D13)&gt;0)))),"●","")</f>
        <v/>
      </c>
      <c r="S13" s="12" t="str">
        <f aca="false">IF(OR(ISNUMBER(SEARCH(","&amp;S$1&amp;",",","&amp;SUBSTITUTE(FAQs!$G13," ","")&amp;",")),AND(OR(FAQs!$E13="both",Routes!$C$18="both",FAQs!$E13=Routes!$C$18),OR(Routes!$D$18="ALL",COUNTIF(Routes!$D$18:$G$18,FAQs!$C13)&gt;0,AND(FAQs!$D13&lt;&gt;"",COUNTIF(Routes!$D$18:$G$18,FAQs!$D13)&gt;0)))),"●","")</f>
        <v/>
      </c>
      <c r="T13" s="12" t="str">
        <f aca="false">IF(OR(ISNUMBER(SEARCH(","&amp;T$1&amp;",",","&amp;SUBSTITUTE(FAQs!$G13," ","")&amp;",")),AND(OR(FAQs!$E13="both",Routes!$C$19="both",FAQs!$E13=Routes!$C$19),OR(Routes!$D$19="ALL",COUNTIF(Routes!$D$19:$G$19,FAQs!$C13)&gt;0,AND(FAQs!$D13&lt;&gt;"",COUNTIF(Routes!$D$19:$G$19,FAQs!$D13)&gt;0)))),"●","")</f>
        <v/>
      </c>
      <c r="U13" s="9" t="n">
        <f aca="false">COUNTIF(C13:T13,"●")</f>
        <v>5</v>
      </c>
    </row>
    <row r="14" customFormat="false" ht="15" hidden="false" customHeight="false" outlineLevel="0" collapsed="false">
      <c r="A14" s="9" t="str">
        <f aca="false">FAQs!A14</f>
        <v>F13</v>
      </c>
      <c r="B14" s="9" t="str">
        <f aca="false">FAQs!H14</f>
        <v>Can I bring my dog?</v>
      </c>
      <c r="C14" s="12" t="str">
        <f aca="false">IF(OR(ISNUMBER(SEARCH(","&amp;C$1&amp;",",","&amp;SUBSTITUTE(FAQs!$G14," ","")&amp;",")),AND(OR(FAQs!$E14="both",Routes!$C$2="both",FAQs!$E14=Routes!$C$2),OR(Routes!$D$2="ALL",COUNTIF(Routes!$D$2:$G$2,FAQs!$C14)&gt;0,AND(FAQs!$D14&lt;&gt;"",COUNTIF(Routes!$D$2:$G$2,FAQs!$D14)&gt;0)))),"●","")</f>
        <v>●</v>
      </c>
      <c r="D14" s="12" t="str">
        <f aca="false">IF(OR(ISNUMBER(SEARCH(","&amp;D$1&amp;",",","&amp;SUBSTITUTE(FAQs!$G14," ","")&amp;",")),AND(OR(FAQs!$E14="both",Routes!$C$3="both",FAQs!$E14=Routes!$C$3),OR(Routes!$D$3="ALL",COUNTIF(Routes!$D$3:$G$3,FAQs!$C14)&gt;0,AND(FAQs!$D14&lt;&gt;"",COUNTIF(Routes!$D$3:$G$3,FAQs!$D14)&gt;0)))),"●","")</f>
        <v/>
      </c>
      <c r="E14" s="12" t="str">
        <f aca="false">IF(OR(ISNUMBER(SEARCH(","&amp;E$1&amp;",",","&amp;SUBSTITUTE(FAQs!$G14," ","")&amp;",")),AND(OR(FAQs!$E14="both",Routes!$C$4="both",FAQs!$E14=Routes!$C$4),OR(Routes!$D$4="ALL",COUNTIF(Routes!$D$4:$G$4,FAQs!$C14)&gt;0,AND(FAQs!$D14&lt;&gt;"",COUNTIF(Routes!$D$4:$G$4,FAQs!$D14)&gt;0)))),"●","")</f>
        <v/>
      </c>
      <c r="F14" s="12" t="str">
        <f aca="false">IF(OR(ISNUMBER(SEARCH(","&amp;F$1&amp;",",","&amp;SUBSTITUTE(FAQs!$G14," ","")&amp;",")),AND(OR(FAQs!$E14="both",Routes!$C$5="both",FAQs!$E14=Routes!$C$5),OR(Routes!$D$5="ALL",COUNTIF(Routes!$D$5:$G$5,FAQs!$C14)&gt;0,AND(FAQs!$D14&lt;&gt;"",COUNTIF(Routes!$D$5:$G$5,FAQs!$D14)&gt;0)))),"●","")</f>
        <v/>
      </c>
      <c r="G14" s="12" t="str">
        <f aca="false">IF(OR(ISNUMBER(SEARCH(","&amp;G$1&amp;",",","&amp;SUBSTITUTE(FAQs!$G14," ","")&amp;",")),AND(OR(FAQs!$E14="both",Routes!$C$6="both",FAQs!$E14=Routes!$C$6),OR(Routes!$D$6="ALL",COUNTIF(Routes!$D$6:$G$6,FAQs!$C14)&gt;0,AND(FAQs!$D14&lt;&gt;"",COUNTIF(Routes!$D$6:$G$6,FAQs!$D14)&gt;0)))),"●","")</f>
        <v/>
      </c>
      <c r="H14" s="12" t="str">
        <f aca="false">IF(OR(ISNUMBER(SEARCH(","&amp;H$1&amp;",",","&amp;SUBSTITUTE(FAQs!$G14," ","")&amp;",")),AND(OR(FAQs!$E14="both",Routes!$C$7="both",FAQs!$E14=Routes!$C$7),OR(Routes!$D$7="ALL",COUNTIF(Routes!$D$7:$G$7,FAQs!$C14)&gt;0,AND(FAQs!$D14&lt;&gt;"",COUNTIF(Routes!$D$7:$G$7,FAQs!$D14)&gt;0)))),"●","")</f>
        <v/>
      </c>
      <c r="I14" s="12" t="str">
        <f aca="false">IF(OR(ISNUMBER(SEARCH(","&amp;I$1&amp;",",","&amp;SUBSTITUTE(FAQs!$G14," ","")&amp;",")),AND(OR(FAQs!$E14="both",Routes!$C$8="both",FAQs!$E14=Routes!$C$8),OR(Routes!$D$8="ALL",COUNTIF(Routes!$D$8:$G$8,FAQs!$C14)&gt;0,AND(FAQs!$D14&lt;&gt;"",COUNTIF(Routes!$D$8:$G$8,FAQs!$D14)&gt;0)))),"●","")</f>
        <v/>
      </c>
      <c r="J14" s="12" t="str">
        <f aca="false">IF(OR(ISNUMBER(SEARCH(","&amp;J$1&amp;",",","&amp;SUBSTITUTE(FAQs!$G14," ","")&amp;",")),AND(OR(FAQs!$E14="both",Routes!$C$9="both",FAQs!$E14=Routes!$C$9),OR(Routes!$D$9="ALL",COUNTIF(Routes!$D$9:$G$9,FAQs!$C14)&gt;0,AND(FAQs!$D14&lt;&gt;"",COUNTIF(Routes!$D$9:$G$9,FAQs!$D14)&gt;0)))),"●","")</f>
        <v/>
      </c>
      <c r="K14" s="12" t="str">
        <f aca="false">IF(OR(ISNUMBER(SEARCH(","&amp;K$1&amp;",",","&amp;SUBSTITUTE(FAQs!$G14," ","")&amp;",")),AND(OR(FAQs!$E14="both",Routes!$C$10="both",FAQs!$E14=Routes!$C$10),OR(Routes!$D$10="ALL",COUNTIF(Routes!$D$10:$G$10,FAQs!$C14)&gt;0,AND(FAQs!$D14&lt;&gt;"",COUNTIF(Routes!$D$10:$G$10,FAQs!$D14)&gt;0)))),"●","")</f>
        <v>●</v>
      </c>
      <c r="L14" s="12" t="str">
        <f aca="false">IF(OR(ISNUMBER(SEARCH(","&amp;L$1&amp;",",","&amp;SUBSTITUTE(FAQs!$G14," ","")&amp;",")),AND(OR(FAQs!$E14="both",Routes!$C$11="both",FAQs!$E14=Routes!$C$11),OR(Routes!$D$11="ALL",COUNTIF(Routes!$D$11:$G$11,FAQs!$C14)&gt;0,AND(FAQs!$D14&lt;&gt;"",COUNTIF(Routes!$D$11:$G$11,FAQs!$D14)&gt;0)))),"●","")</f>
        <v/>
      </c>
      <c r="M14" s="12" t="str">
        <f aca="false">IF(OR(ISNUMBER(SEARCH(","&amp;M$1&amp;",",","&amp;SUBSTITUTE(FAQs!$G14," ","")&amp;",")),AND(OR(FAQs!$E14="both",Routes!$C$12="both",FAQs!$E14=Routes!$C$12),OR(Routes!$D$12="ALL",COUNTIF(Routes!$D$12:$G$12,FAQs!$C14)&gt;0,AND(FAQs!$D14&lt;&gt;"",COUNTIF(Routes!$D$12:$G$12,FAQs!$D14)&gt;0)))),"●","")</f>
        <v/>
      </c>
      <c r="N14" s="12" t="str">
        <f aca="false">IF(OR(ISNUMBER(SEARCH(","&amp;N$1&amp;",",","&amp;SUBSTITUTE(FAQs!$G14," ","")&amp;",")),AND(OR(FAQs!$E14="both",Routes!$C$13="both",FAQs!$E14=Routes!$C$13),OR(Routes!$D$13="ALL",COUNTIF(Routes!$D$13:$G$13,FAQs!$C14)&gt;0,AND(FAQs!$D14&lt;&gt;"",COUNTIF(Routes!$D$13:$G$13,FAQs!$D14)&gt;0)))),"●","")</f>
        <v/>
      </c>
      <c r="O14" s="12" t="str">
        <f aca="false">IF(OR(ISNUMBER(SEARCH(","&amp;O$1&amp;",",","&amp;SUBSTITUTE(FAQs!$G14," ","")&amp;",")),AND(OR(FAQs!$E14="both",Routes!$C$14="both",FAQs!$E14=Routes!$C$14),OR(Routes!$D$14="ALL",COUNTIF(Routes!$D$14:$G$14,FAQs!$C14)&gt;0,AND(FAQs!$D14&lt;&gt;"",COUNTIF(Routes!$D$14:$G$14,FAQs!$D14)&gt;0)))),"●","")</f>
        <v>●</v>
      </c>
      <c r="P14" s="12" t="str">
        <f aca="false">IF(OR(ISNUMBER(SEARCH(","&amp;P$1&amp;",",","&amp;SUBSTITUTE(FAQs!$G14," ","")&amp;",")),AND(OR(FAQs!$E14="both",Routes!$C$15="both",FAQs!$E14=Routes!$C$15),OR(Routes!$D$15="ALL",COUNTIF(Routes!$D$15:$G$15,FAQs!$C14)&gt;0,AND(FAQs!$D14&lt;&gt;"",COUNTIF(Routes!$D$15:$G$15,FAQs!$D14)&gt;0)))),"●","")</f>
        <v/>
      </c>
      <c r="Q14" s="12" t="str">
        <f aca="false">IF(OR(ISNUMBER(SEARCH(","&amp;Q$1&amp;",",","&amp;SUBSTITUTE(FAQs!$G14," ","")&amp;",")),AND(OR(FAQs!$E14="both",Routes!$C$16="both",FAQs!$E14=Routes!$C$16),OR(Routes!$D$16="ALL",COUNTIF(Routes!$D$16:$G$16,FAQs!$C14)&gt;0,AND(FAQs!$D14&lt;&gt;"",COUNTIF(Routes!$D$16:$G$16,FAQs!$D14)&gt;0)))),"●","")</f>
        <v/>
      </c>
      <c r="R14" s="12" t="str">
        <f aca="false">IF(OR(ISNUMBER(SEARCH(","&amp;R$1&amp;",",","&amp;SUBSTITUTE(FAQs!$G14," ","")&amp;",")),AND(OR(FAQs!$E14="both",Routes!$C$17="both",FAQs!$E14=Routes!$C$17),OR(Routes!$D$17="ALL",COUNTIF(Routes!$D$17:$G$17,FAQs!$C14)&gt;0,AND(FAQs!$D14&lt;&gt;"",COUNTIF(Routes!$D$17:$G$17,FAQs!$D14)&gt;0)))),"●","")</f>
        <v>●</v>
      </c>
      <c r="S14" s="12" t="str">
        <f aca="false">IF(OR(ISNUMBER(SEARCH(","&amp;S$1&amp;",",","&amp;SUBSTITUTE(FAQs!$G14," ","")&amp;",")),AND(OR(FAQs!$E14="both",Routes!$C$18="both",FAQs!$E14=Routes!$C$18),OR(Routes!$D$18="ALL",COUNTIF(Routes!$D$18:$G$18,FAQs!$C14)&gt;0,AND(FAQs!$D14&lt;&gt;"",COUNTIF(Routes!$D$18:$G$18,FAQs!$D14)&gt;0)))),"●","")</f>
        <v>●</v>
      </c>
      <c r="T14" s="12" t="str">
        <f aca="false">IF(OR(ISNUMBER(SEARCH(","&amp;T$1&amp;",",","&amp;SUBSTITUTE(FAQs!$G14," ","")&amp;",")),AND(OR(FAQs!$E14="both",Routes!$C$19="both",FAQs!$E14=Routes!$C$19),OR(Routes!$D$19="ALL",COUNTIF(Routes!$D$19:$G$19,FAQs!$C14)&gt;0,AND(FAQs!$D14&lt;&gt;"",COUNTIF(Routes!$D$19:$G$19,FAQs!$D14)&gt;0)))),"●","")</f>
        <v/>
      </c>
      <c r="U14" s="9" t="n">
        <f aca="false">COUNTIF(C14:T14,"●")</f>
        <v>5</v>
      </c>
    </row>
    <row r="15" customFormat="false" ht="15" hidden="false" customHeight="false" outlineLevel="0" collapsed="false">
      <c r="A15" s="9" t="str">
        <f aca="false">FAQs!A15</f>
        <v>F14</v>
      </c>
      <c r="B15" s="9" t="str">
        <f aca="false">FAQs!H15</f>
        <v>Can I request a quiet room?</v>
      </c>
      <c r="C15" s="12" t="str">
        <f aca="false">IF(OR(ISNUMBER(SEARCH(","&amp;C$1&amp;",",","&amp;SUBSTITUTE(FAQs!$G15," ","")&amp;",")),AND(OR(FAQs!$E15="both",Routes!$C$2="both",FAQs!$E15=Routes!$C$2),OR(Routes!$D$2="ALL",COUNTIF(Routes!$D$2:$G$2,FAQs!$C15)&gt;0,AND(FAQs!$D15&lt;&gt;"",COUNTIF(Routes!$D$2:$G$2,FAQs!$D15)&gt;0)))),"●","")</f>
        <v/>
      </c>
      <c r="D15" s="12" t="str">
        <f aca="false">IF(OR(ISNUMBER(SEARCH(","&amp;D$1&amp;",",","&amp;SUBSTITUTE(FAQs!$G15," ","")&amp;",")),AND(OR(FAQs!$E15="both",Routes!$C$3="both",FAQs!$E15=Routes!$C$3),OR(Routes!$D$3="ALL",COUNTIF(Routes!$D$3:$G$3,FAQs!$C15)&gt;0,AND(FAQs!$D15&lt;&gt;"",COUNTIF(Routes!$D$3:$G$3,FAQs!$D15)&gt;0)))),"●","")</f>
        <v>●</v>
      </c>
      <c r="E15" s="12" t="str">
        <f aca="false">IF(OR(ISNUMBER(SEARCH(","&amp;E$1&amp;",",","&amp;SUBSTITUTE(FAQs!$G15," ","")&amp;",")),AND(OR(FAQs!$E15="both",Routes!$C$4="both",FAQs!$E15=Routes!$C$4),OR(Routes!$D$4="ALL",COUNTIF(Routes!$D$4:$G$4,FAQs!$C15)&gt;0,AND(FAQs!$D15&lt;&gt;"",COUNTIF(Routes!$D$4:$G$4,FAQs!$D15)&gt;0)))),"●","")</f>
        <v>●</v>
      </c>
      <c r="F15" s="12" t="str">
        <f aca="false">IF(OR(ISNUMBER(SEARCH(","&amp;F$1&amp;",",","&amp;SUBSTITUTE(FAQs!$G15," ","")&amp;",")),AND(OR(FAQs!$E15="both",Routes!$C$5="both",FAQs!$E15=Routes!$C$5),OR(Routes!$D$5="ALL",COUNTIF(Routes!$D$5:$G$5,FAQs!$C15)&gt;0,AND(FAQs!$D15&lt;&gt;"",COUNTIF(Routes!$D$5:$G$5,FAQs!$D15)&gt;0)))),"●","")</f>
        <v/>
      </c>
      <c r="G15" s="12" t="str">
        <f aca="false">IF(OR(ISNUMBER(SEARCH(","&amp;G$1&amp;",",","&amp;SUBSTITUTE(FAQs!$G15," ","")&amp;",")),AND(OR(FAQs!$E15="both",Routes!$C$6="both",FAQs!$E15=Routes!$C$6),OR(Routes!$D$6="ALL",COUNTIF(Routes!$D$6:$G$6,FAQs!$C15)&gt;0,AND(FAQs!$D15&lt;&gt;"",COUNTIF(Routes!$D$6:$G$6,FAQs!$D15)&gt;0)))),"●","")</f>
        <v/>
      </c>
      <c r="H15" s="12" t="str">
        <f aca="false">IF(OR(ISNUMBER(SEARCH(","&amp;H$1&amp;",",","&amp;SUBSTITUTE(FAQs!$G15," ","")&amp;",")),AND(OR(FAQs!$E15="both",Routes!$C$7="both",FAQs!$E15=Routes!$C$7),OR(Routes!$D$7="ALL",COUNTIF(Routes!$D$7:$G$7,FAQs!$C15)&gt;0,AND(FAQs!$D15&lt;&gt;"",COUNTIF(Routes!$D$7:$G$7,FAQs!$D15)&gt;0)))),"●","")</f>
        <v/>
      </c>
      <c r="I15" s="12" t="str">
        <f aca="false">IF(OR(ISNUMBER(SEARCH(","&amp;I$1&amp;",",","&amp;SUBSTITUTE(FAQs!$G15," ","")&amp;",")),AND(OR(FAQs!$E15="both",Routes!$C$8="both",FAQs!$E15=Routes!$C$8),OR(Routes!$D$8="ALL",COUNTIF(Routes!$D$8:$G$8,FAQs!$C15)&gt;0,AND(FAQs!$D15&lt;&gt;"",COUNTIF(Routes!$D$8:$G$8,FAQs!$D15)&gt;0)))),"●","")</f>
        <v/>
      </c>
      <c r="J15" s="12" t="str">
        <f aca="false">IF(OR(ISNUMBER(SEARCH(","&amp;J$1&amp;",",","&amp;SUBSTITUTE(FAQs!$G15," ","")&amp;",")),AND(OR(FAQs!$E15="both",Routes!$C$9="both",FAQs!$E15=Routes!$C$9),OR(Routes!$D$9="ALL",COUNTIF(Routes!$D$9:$G$9,FAQs!$C15)&gt;0,AND(FAQs!$D15&lt;&gt;"",COUNTIF(Routes!$D$9:$G$9,FAQs!$D15)&gt;0)))),"●","")</f>
        <v/>
      </c>
      <c r="K15" s="12" t="str">
        <f aca="false">IF(OR(ISNUMBER(SEARCH(","&amp;K$1&amp;",",","&amp;SUBSTITUTE(FAQs!$G15," ","")&amp;",")),AND(OR(FAQs!$E15="both",Routes!$C$10="both",FAQs!$E15=Routes!$C$10),OR(Routes!$D$10="ALL",COUNTIF(Routes!$D$10:$G$10,FAQs!$C15)&gt;0,AND(FAQs!$D15&lt;&gt;"",COUNTIF(Routes!$D$10:$G$10,FAQs!$D15)&gt;0)))),"●","")</f>
        <v>●</v>
      </c>
      <c r="L15" s="12" t="str">
        <f aca="false">IF(OR(ISNUMBER(SEARCH(","&amp;L$1&amp;",",","&amp;SUBSTITUTE(FAQs!$G15," ","")&amp;",")),AND(OR(FAQs!$E15="both",Routes!$C$11="both",FAQs!$E15=Routes!$C$11),OR(Routes!$D$11="ALL",COUNTIF(Routes!$D$11:$G$11,FAQs!$C15)&gt;0,AND(FAQs!$D15&lt;&gt;"",COUNTIF(Routes!$D$11:$G$11,FAQs!$D15)&gt;0)))),"●","")</f>
        <v/>
      </c>
      <c r="M15" s="12" t="str">
        <f aca="false">IF(OR(ISNUMBER(SEARCH(","&amp;M$1&amp;",",","&amp;SUBSTITUTE(FAQs!$G15," ","")&amp;",")),AND(OR(FAQs!$E15="both",Routes!$C$12="both",FAQs!$E15=Routes!$C$12),OR(Routes!$D$12="ALL",COUNTIF(Routes!$D$12:$G$12,FAQs!$C15)&gt;0,AND(FAQs!$D15&lt;&gt;"",COUNTIF(Routes!$D$12:$G$12,FAQs!$D15)&gt;0)))),"●","")</f>
        <v/>
      </c>
      <c r="N15" s="12" t="str">
        <f aca="false">IF(OR(ISNUMBER(SEARCH(","&amp;N$1&amp;",",","&amp;SUBSTITUTE(FAQs!$G15," ","")&amp;",")),AND(OR(FAQs!$E15="both",Routes!$C$13="both",FAQs!$E15=Routes!$C$13),OR(Routes!$D$13="ALL",COUNTIF(Routes!$D$13:$G$13,FAQs!$C15)&gt;0,AND(FAQs!$D15&lt;&gt;"",COUNTIF(Routes!$D$13:$G$13,FAQs!$D15)&gt;0)))),"●","")</f>
        <v/>
      </c>
      <c r="O15" s="12" t="str">
        <f aca="false">IF(OR(ISNUMBER(SEARCH(","&amp;O$1&amp;",",","&amp;SUBSTITUTE(FAQs!$G15," ","")&amp;",")),AND(OR(FAQs!$E15="both",Routes!$C$14="both",FAQs!$E15=Routes!$C$14),OR(Routes!$D$14="ALL",COUNTIF(Routes!$D$14:$G$14,FAQs!$C15)&gt;0,AND(FAQs!$D15&lt;&gt;"",COUNTIF(Routes!$D$14:$G$14,FAQs!$D15)&gt;0)))),"●","")</f>
        <v/>
      </c>
      <c r="P15" s="12" t="str">
        <f aca="false">IF(OR(ISNUMBER(SEARCH(","&amp;P$1&amp;",",","&amp;SUBSTITUTE(FAQs!$G15," ","")&amp;",")),AND(OR(FAQs!$E15="both",Routes!$C$15="both",FAQs!$E15=Routes!$C$15),OR(Routes!$D$15="ALL",COUNTIF(Routes!$D$15:$G$15,FAQs!$C15)&gt;0,AND(FAQs!$D15&lt;&gt;"",COUNTIF(Routes!$D$15:$G$15,FAQs!$D15)&gt;0)))),"●","")</f>
        <v/>
      </c>
      <c r="Q15" s="12" t="str">
        <f aca="false">IF(OR(ISNUMBER(SEARCH(","&amp;Q$1&amp;",",","&amp;SUBSTITUTE(FAQs!$G15," ","")&amp;",")),AND(OR(FAQs!$E15="both",Routes!$C$16="both",FAQs!$E15=Routes!$C$16),OR(Routes!$D$16="ALL",COUNTIF(Routes!$D$16:$G$16,FAQs!$C15)&gt;0,AND(FAQs!$D15&lt;&gt;"",COUNTIF(Routes!$D$16:$G$16,FAQs!$D15)&gt;0)))),"●","")</f>
        <v/>
      </c>
      <c r="R15" s="12" t="str">
        <f aca="false">IF(OR(ISNUMBER(SEARCH(","&amp;R$1&amp;",",","&amp;SUBSTITUTE(FAQs!$G15," ","")&amp;",")),AND(OR(FAQs!$E15="both",Routes!$C$17="both",FAQs!$E15=Routes!$C$17),OR(Routes!$D$17="ALL",COUNTIF(Routes!$D$17:$G$17,FAQs!$C15)&gt;0,AND(FAQs!$D15&lt;&gt;"",COUNTIF(Routes!$D$17:$G$17,FAQs!$D15)&gt;0)))),"●","")</f>
        <v/>
      </c>
      <c r="S15" s="12" t="str">
        <f aca="false">IF(OR(ISNUMBER(SEARCH(","&amp;S$1&amp;",",","&amp;SUBSTITUTE(FAQs!$G15," ","")&amp;",")),AND(OR(FAQs!$E15="both",Routes!$C$18="both",FAQs!$E15=Routes!$C$18),OR(Routes!$D$18="ALL",COUNTIF(Routes!$D$18:$G$18,FAQs!$C15)&gt;0,AND(FAQs!$D15&lt;&gt;"",COUNTIF(Routes!$D$18:$G$18,FAQs!$D15)&gt;0)))),"●","")</f>
        <v/>
      </c>
      <c r="T15" s="12" t="str">
        <f aca="false">IF(OR(ISNUMBER(SEARCH(","&amp;T$1&amp;",",","&amp;SUBSTITUTE(FAQs!$G15," ","")&amp;",")),AND(OR(FAQs!$E15="both",Routes!$C$19="both",FAQs!$E15=Routes!$C$19),OR(Routes!$D$19="ALL",COUNTIF(Routes!$D$19:$G$19,FAQs!$C15)&gt;0,AND(FAQs!$D15&lt;&gt;"",COUNTIF(Routes!$D$19:$G$19,FAQs!$D15)&gt;0)))),"●","")</f>
        <v/>
      </c>
      <c r="U15" s="9" t="n">
        <f aca="false">COUNTIF(C15:T15,"●")</f>
        <v>3</v>
      </c>
    </row>
    <row r="16" customFormat="false" ht="15" hidden="false" customHeight="false" outlineLevel="0" collapsed="false">
      <c r="A16" s="9" t="str">
        <f aca="false">FAQs!A16</f>
        <v>F15</v>
      </c>
      <c r="B16" s="9" t="str">
        <f aca="false">FAQs!H16</f>
        <v>Do any rooms have a balcony?</v>
      </c>
      <c r="C16" s="12" t="str">
        <f aca="false">IF(OR(ISNUMBER(SEARCH(","&amp;C$1&amp;",",","&amp;SUBSTITUTE(FAQs!$G16," ","")&amp;",")),AND(OR(FAQs!$E16="both",Routes!$C$2="both",FAQs!$E16=Routes!$C$2),OR(Routes!$D$2="ALL",COUNTIF(Routes!$D$2:$G$2,FAQs!$C16)&gt;0,AND(FAQs!$D16&lt;&gt;"",COUNTIF(Routes!$D$2:$G$2,FAQs!$D16)&gt;0)))),"●","")</f>
        <v/>
      </c>
      <c r="D16" s="12" t="str">
        <f aca="false">IF(OR(ISNUMBER(SEARCH(","&amp;D$1&amp;",",","&amp;SUBSTITUTE(FAQs!$G16," ","")&amp;",")),AND(OR(FAQs!$E16="both",Routes!$C$3="both",FAQs!$E16=Routes!$C$3),OR(Routes!$D$3="ALL",COUNTIF(Routes!$D$3:$G$3,FAQs!$C16)&gt;0,AND(FAQs!$D16&lt;&gt;"",COUNTIF(Routes!$D$3:$G$3,FAQs!$D16)&gt;0)))),"●","")</f>
        <v>●</v>
      </c>
      <c r="E16" s="12" t="str">
        <f aca="false">IF(OR(ISNUMBER(SEARCH(","&amp;E$1&amp;",",","&amp;SUBSTITUTE(FAQs!$G16," ","")&amp;",")),AND(OR(FAQs!$E16="both",Routes!$C$4="both",FAQs!$E16=Routes!$C$4),OR(Routes!$D$4="ALL",COUNTIF(Routes!$D$4:$G$4,FAQs!$C16)&gt;0,AND(FAQs!$D16&lt;&gt;"",COUNTIF(Routes!$D$4:$G$4,FAQs!$D16)&gt;0)))),"●","")</f>
        <v>●</v>
      </c>
      <c r="F16" s="12" t="str">
        <f aca="false">IF(OR(ISNUMBER(SEARCH(","&amp;F$1&amp;",",","&amp;SUBSTITUTE(FAQs!$G16," ","")&amp;",")),AND(OR(FAQs!$E16="both",Routes!$C$5="both",FAQs!$E16=Routes!$C$5),OR(Routes!$D$5="ALL",COUNTIF(Routes!$D$5:$G$5,FAQs!$C16)&gt;0,AND(FAQs!$D16&lt;&gt;"",COUNTIF(Routes!$D$5:$G$5,FAQs!$D16)&gt;0)))),"●","")</f>
        <v/>
      </c>
      <c r="G16" s="12" t="str">
        <f aca="false">IF(OR(ISNUMBER(SEARCH(","&amp;G$1&amp;",",","&amp;SUBSTITUTE(FAQs!$G16," ","")&amp;",")),AND(OR(FAQs!$E16="both",Routes!$C$6="both",FAQs!$E16=Routes!$C$6),OR(Routes!$D$6="ALL",COUNTIF(Routes!$D$6:$G$6,FAQs!$C16)&gt;0,AND(FAQs!$D16&lt;&gt;"",COUNTIF(Routes!$D$6:$G$6,FAQs!$D16)&gt;0)))),"●","")</f>
        <v/>
      </c>
      <c r="H16" s="12" t="str">
        <f aca="false">IF(OR(ISNUMBER(SEARCH(","&amp;H$1&amp;",",","&amp;SUBSTITUTE(FAQs!$G16," ","")&amp;",")),AND(OR(FAQs!$E16="both",Routes!$C$7="both",FAQs!$E16=Routes!$C$7),OR(Routes!$D$7="ALL",COUNTIF(Routes!$D$7:$G$7,FAQs!$C16)&gt;0,AND(FAQs!$D16&lt;&gt;"",COUNTIF(Routes!$D$7:$G$7,FAQs!$D16)&gt;0)))),"●","")</f>
        <v/>
      </c>
      <c r="I16" s="12" t="str">
        <f aca="false">IF(OR(ISNUMBER(SEARCH(","&amp;I$1&amp;",",","&amp;SUBSTITUTE(FAQs!$G16," ","")&amp;",")),AND(OR(FAQs!$E16="both",Routes!$C$8="both",FAQs!$E16=Routes!$C$8),OR(Routes!$D$8="ALL",COUNTIF(Routes!$D$8:$G$8,FAQs!$C16)&gt;0,AND(FAQs!$D16&lt;&gt;"",COUNTIF(Routes!$D$8:$G$8,FAQs!$D16)&gt;0)))),"●","")</f>
        <v/>
      </c>
      <c r="J16" s="12" t="str">
        <f aca="false">IF(OR(ISNUMBER(SEARCH(","&amp;J$1&amp;",",","&amp;SUBSTITUTE(FAQs!$G16," ","")&amp;",")),AND(OR(FAQs!$E16="both",Routes!$C$9="both",FAQs!$E16=Routes!$C$9),OR(Routes!$D$9="ALL",COUNTIF(Routes!$D$9:$G$9,FAQs!$C16)&gt;0,AND(FAQs!$D16&lt;&gt;"",COUNTIF(Routes!$D$9:$G$9,FAQs!$D16)&gt;0)))),"●","")</f>
        <v/>
      </c>
      <c r="K16" s="12" t="str">
        <f aca="false">IF(OR(ISNUMBER(SEARCH(","&amp;K$1&amp;",",","&amp;SUBSTITUTE(FAQs!$G16," ","")&amp;",")),AND(OR(FAQs!$E16="both",Routes!$C$10="both",FAQs!$E16=Routes!$C$10),OR(Routes!$D$10="ALL",COUNTIF(Routes!$D$10:$G$10,FAQs!$C16)&gt;0,AND(FAQs!$D16&lt;&gt;"",COUNTIF(Routes!$D$10:$G$10,FAQs!$D16)&gt;0)))),"●","")</f>
        <v>●</v>
      </c>
      <c r="L16" s="12" t="str">
        <f aca="false">IF(OR(ISNUMBER(SEARCH(","&amp;L$1&amp;",",","&amp;SUBSTITUTE(FAQs!$G16," ","")&amp;",")),AND(OR(FAQs!$E16="both",Routes!$C$11="both",FAQs!$E16=Routes!$C$11),OR(Routes!$D$11="ALL",COUNTIF(Routes!$D$11:$G$11,FAQs!$C16)&gt;0,AND(FAQs!$D16&lt;&gt;"",COUNTIF(Routes!$D$11:$G$11,FAQs!$D16)&gt;0)))),"●","")</f>
        <v/>
      </c>
      <c r="M16" s="12" t="str">
        <f aca="false">IF(OR(ISNUMBER(SEARCH(","&amp;M$1&amp;",",","&amp;SUBSTITUTE(FAQs!$G16," ","")&amp;",")),AND(OR(FAQs!$E16="both",Routes!$C$12="both",FAQs!$E16=Routes!$C$12),OR(Routes!$D$12="ALL",COUNTIF(Routes!$D$12:$G$12,FAQs!$C16)&gt;0,AND(FAQs!$D16&lt;&gt;"",COUNTIF(Routes!$D$12:$G$12,FAQs!$D16)&gt;0)))),"●","")</f>
        <v/>
      </c>
      <c r="N16" s="12" t="str">
        <f aca="false">IF(OR(ISNUMBER(SEARCH(","&amp;N$1&amp;",",","&amp;SUBSTITUTE(FAQs!$G16," ","")&amp;",")),AND(OR(FAQs!$E16="both",Routes!$C$13="both",FAQs!$E16=Routes!$C$13),OR(Routes!$D$13="ALL",COUNTIF(Routes!$D$13:$G$13,FAQs!$C16)&gt;0,AND(FAQs!$D16&lt;&gt;"",COUNTIF(Routes!$D$13:$G$13,FAQs!$D16)&gt;0)))),"●","")</f>
        <v/>
      </c>
      <c r="O16" s="12" t="str">
        <f aca="false">IF(OR(ISNUMBER(SEARCH(","&amp;O$1&amp;",",","&amp;SUBSTITUTE(FAQs!$G16," ","")&amp;",")),AND(OR(FAQs!$E16="both",Routes!$C$14="both",FAQs!$E16=Routes!$C$14),OR(Routes!$D$14="ALL",COUNTIF(Routes!$D$14:$G$14,FAQs!$C16)&gt;0,AND(FAQs!$D16&lt;&gt;"",COUNTIF(Routes!$D$14:$G$14,FAQs!$D16)&gt;0)))),"●","")</f>
        <v/>
      </c>
      <c r="P16" s="12" t="str">
        <f aca="false">IF(OR(ISNUMBER(SEARCH(","&amp;P$1&amp;",",","&amp;SUBSTITUTE(FAQs!$G16," ","")&amp;",")),AND(OR(FAQs!$E16="both",Routes!$C$15="both",FAQs!$E16=Routes!$C$15),OR(Routes!$D$15="ALL",COUNTIF(Routes!$D$15:$G$15,FAQs!$C16)&gt;0,AND(FAQs!$D16&lt;&gt;"",COUNTIF(Routes!$D$15:$G$15,FAQs!$D16)&gt;0)))),"●","")</f>
        <v/>
      </c>
      <c r="Q16" s="12" t="str">
        <f aca="false">IF(OR(ISNUMBER(SEARCH(","&amp;Q$1&amp;",",","&amp;SUBSTITUTE(FAQs!$G16," ","")&amp;",")),AND(OR(FAQs!$E16="both",Routes!$C$16="both",FAQs!$E16=Routes!$C$16),OR(Routes!$D$16="ALL",COUNTIF(Routes!$D$16:$G$16,FAQs!$C16)&gt;0,AND(FAQs!$D16&lt;&gt;"",COUNTIF(Routes!$D$16:$G$16,FAQs!$D16)&gt;0)))),"●","")</f>
        <v/>
      </c>
      <c r="R16" s="12" t="str">
        <f aca="false">IF(OR(ISNUMBER(SEARCH(","&amp;R$1&amp;",",","&amp;SUBSTITUTE(FAQs!$G16," ","")&amp;",")),AND(OR(FAQs!$E16="both",Routes!$C$17="both",FAQs!$E16=Routes!$C$17),OR(Routes!$D$17="ALL",COUNTIF(Routes!$D$17:$G$17,FAQs!$C16)&gt;0,AND(FAQs!$D16&lt;&gt;"",COUNTIF(Routes!$D$17:$G$17,FAQs!$D16)&gt;0)))),"●","")</f>
        <v/>
      </c>
      <c r="S16" s="12" t="str">
        <f aca="false">IF(OR(ISNUMBER(SEARCH(","&amp;S$1&amp;",",","&amp;SUBSTITUTE(FAQs!$G16," ","")&amp;",")),AND(OR(FAQs!$E16="both",Routes!$C$18="both",FAQs!$E16=Routes!$C$18),OR(Routes!$D$18="ALL",COUNTIF(Routes!$D$18:$G$18,FAQs!$C16)&gt;0,AND(FAQs!$D16&lt;&gt;"",COUNTIF(Routes!$D$18:$G$18,FAQs!$D16)&gt;0)))),"●","")</f>
        <v/>
      </c>
      <c r="T16" s="12" t="str">
        <f aca="false">IF(OR(ISNUMBER(SEARCH(","&amp;T$1&amp;",",","&amp;SUBSTITUTE(FAQs!$G16," ","")&amp;",")),AND(OR(FAQs!$E16="both",Routes!$C$19="both",FAQs!$E16=Routes!$C$19),OR(Routes!$D$19="ALL",COUNTIF(Routes!$D$19:$G$19,FAQs!$C16)&gt;0,AND(FAQs!$D16&lt;&gt;"",COUNTIF(Routes!$D$19:$G$19,FAQs!$D16)&gt;0)))),"●","")</f>
        <v/>
      </c>
      <c r="U16" s="9" t="n">
        <f aca="false">COUNTIF(C16:T16,"●")</f>
        <v>3</v>
      </c>
    </row>
    <row r="17" customFormat="false" ht="15" hidden="false" customHeight="false" outlineLevel="0" collapsed="false">
      <c r="A17" s="9" t="str">
        <f aca="false">FAQs!A17</f>
        <v>F16</v>
      </c>
      <c r="B17" s="9" t="str">
        <f aca="false">FAQs!H17</f>
        <v>Which are the largest rooms?</v>
      </c>
      <c r="C17" s="12" t="str">
        <f aca="false">IF(OR(ISNUMBER(SEARCH(","&amp;C$1&amp;",",","&amp;SUBSTITUTE(FAQs!$G17," ","")&amp;",")),AND(OR(FAQs!$E17="both",Routes!$C$2="both",FAQs!$E17=Routes!$C$2),OR(Routes!$D$2="ALL",COUNTIF(Routes!$D$2:$G$2,FAQs!$C17)&gt;0,AND(FAQs!$D17&lt;&gt;"",COUNTIF(Routes!$D$2:$G$2,FAQs!$D17)&gt;0)))),"●","")</f>
        <v/>
      </c>
      <c r="D17" s="12" t="str">
        <f aca="false">IF(OR(ISNUMBER(SEARCH(","&amp;D$1&amp;",",","&amp;SUBSTITUTE(FAQs!$G17," ","")&amp;",")),AND(OR(FAQs!$E17="both",Routes!$C$3="both",FAQs!$E17=Routes!$C$3),OR(Routes!$D$3="ALL",COUNTIF(Routes!$D$3:$G$3,FAQs!$C17)&gt;0,AND(FAQs!$D17&lt;&gt;"",COUNTIF(Routes!$D$3:$G$3,FAQs!$D17)&gt;0)))),"●","")</f>
        <v>●</v>
      </c>
      <c r="E17" s="12" t="str">
        <f aca="false">IF(OR(ISNUMBER(SEARCH(","&amp;E$1&amp;",",","&amp;SUBSTITUTE(FAQs!$G17," ","")&amp;",")),AND(OR(FAQs!$E17="both",Routes!$C$4="both",FAQs!$E17=Routes!$C$4),OR(Routes!$D$4="ALL",COUNTIF(Routes!$D$4:$G$4,FAQs!$C17)&gt;0,AND(FAQs!$D17&lt;&gt;"",COUNTIF(Routes!$D$4:$G$4,FAQs!$D17)&gt;0)))),"●","")</f>
        <v>●</v>
      </c>
      <c r="F17" s="12" t="str">
        <f aca="false">IF(OR(ISNUMBER(SEARCH(","&amp;F$1&amp;",",","&amp;SUBSTITUTE(FAQs!$G17," ","")&amp;",")),AND(OR(FAQs!$E17="both",Routes!$C$5="both",FAQs!$E17=Routes!$C$5),OR(Routes!$D$5="ALL",COUNTIF(Routes!$D$5:$G$5,FAQs!$C17)&gt;0,AND(FAQs!$D17&lt;&gt;"",COUNTIF(Routes!$D$5:$G$5,FAQs!$D17)&gt;0)))),"●","")</f>
        <v/>
      </c>
      <c r="G17" s="12" t="str">
        <f aca="false">IF(OR(ISNUMBER(SEARCH(","&amp;G$1&amp;",",","&amp;SUBSTITUTE(FAQs!$G17," ","")&amp;",")),AND(OR(FAQs!$E17="both",Routes!$C$6="both",FAQs!$E17=Routes!$C$6),OR(Routes!$D$6="ALL",COUNTIF(Routes!$D$6:$G$6,FAQs!$C17)&gt;0,AND(FAQs!$D17&lt;&gt;"",COUNTIF(Routes!$D$6:$G$6,FAQs!$D17)&gt;0)))),"●","")</f>
        <v/>
      </c>
      <c r="H17" s="12" t="str">
        <f aca="false">IF(OR(ISNUMBER(SEARCH(","&amp;H$1&amp;",",","&amp;SUBSTITUTE(FAQs!$G17," ","")&amp;",")),AND(OR(FAQs!$E17="both",Routes!$C$7="both",FAQs!$E17=Routes!$C$7),OR(Routes!$D$7="ALL",COUNTIF(Routes!$D$7:$G$7,FAQs!$C17)&gt;0,AND(FAQs!$D17&lt;&gt;"",COUNTIF(Routes!$D$7:$G$7,FAQs!$D17)&gt;0)))),"●","")</f>
        <v/>
      </c>
      <c r="I17" s="12" t="str">
        <f aca="false">IF(OR(ISNUMBER(SEARCH(","&amp;I$1&amp;",",","&amp;SUBSTITUTE(FAQs!$G17," ","")&amp;",")),AND(OR(FAQs!$E17="both",Routes!$C$8="both",FAQs!$E17=Routes!$C$8),OR(Routes!$D$8="ALL",COUNTIF(Routes!$D$8:$G$8,FAQs!$C17)&gt;0,AND(FAQs!$D17&lt;&gt;"",COUNTIF(Routes!$D$8:$G$8,FAQs!$D17)&gt;0)))),"●","")</f>
        <v/>
      </c>
      <c r="J17" s="12" t="str">
        <f aca="false">IF(OR(ISNUMBER(SEARCH(","&amp;J$1&amp;",",","&amp;SUBSTITUTE(FAQs!$G17," ","")&amp;",")),AND(OR(FAQs!$E17="both",Routes!$C$9="both",FAQs!$E17=Routes!$C$9),OR(Routes!$D$9="ALL",COUNTIF(Routes!$D$9:$G$9,FAQs!$C17)&gt;0,AND(FAQs!$D17&lt;&gt;"",COUNTIF(Routes!$D$9:$G$9,FAQs!$D17)&gt;0)))),"●","")</f>
        <v/>
      </c>
      <c r="K17" s="12" t="str">
        <f aca="false">IF(OR(ISNUMBER(SEARCH(","&amp;K$1&amp;",",","&amp;SUBSTITUTE(FAQs!$G17," ","")&amp;",")),AND(OR(FAQs!$E17="both",Routes!$C$10="both",FAQs!$E17=Routes!$C$10),OR(Routes!$D$10="ALL",COUNTIF(Routes!$D$10:$G$10,FAQs!$C17)&gt;0,AND(FAQs!$D17&lt;&gt;"",COUNTIF(Routes!$D$10:$G$10,FAQs!$D17)&gt;0)))),"●","")</f>
        <v>●</v>
      </c>
      <c r="L17" s="12" t="str">
        <f aca="false">IF(OR(ISNUMBER(SEARCH(","&amp;L$1&amp;",",","&amp;SUBSTITUTE(FAQs!$G17," ","")&amp;",")),AND(OR(FAQs!$E17="both",Routes!$C$11="both",FAQs!$E17=Routes!$C$11),OR(Routes!$D$11="ALL",COUNTIF(Routes!$D$11:$G$11,FAQs!$C17)&gt;0,AND(FAQs!$D17&lt;&gt;"",COUNTIF(Routes!$D$11:$G$11,FAQs!$D17)&gt;0)))),"●","")</f>
        <v/>
      </c>
      <c r="M17" s="12" t="str">
        <f aca="false">IF(OR(ISNUMBER(SEARCH(","&amp;M$1&amp;",",","&amp;SUBSTITUTE(FAQs!$G17," ","")&amp;",")),AND(OR(FAQs!$E17="both",Routes!$C$12="both",FAQs!$E17=Routes!$C$12),OR(Routes!$D$12="ALL",COUNTIF(Routes!$D$12:$G$12,FAQs!$C17)&gt;0,AND(FAQs!$D17&lt;&gt;"",COUNTIF(Routes!$D$12:$G$12,FAQs!$D17)&gt;0)))),"●","")</f>
        <v/>
      </c>
      <c r="N17" s="12" t="str">
        <f aca="false">IF(OR(ISNUMBER(SEARCH(","&amp;N$1&amp;",",","&amp;SUBSTITUTE(FAQs!$G17," ","")&amp;",")),AND(OR(FAQs!$E17="both",Routes!$C$13="both",FAQs!$E17=Routes!$C$13),OR(Routes!$D$13="ALL",COUNTIF(Routes!$D$13:$G$13,FAQs!$C17)&gt;0,AND(FAQs!$D17&lt;&gt;"",COUNTIF(Routes!$D$13:$G$13,FAQs!$D17)&gt;0)))),"●","")</f>
        <v/>
      </c>
      <c r="O17" s="12" t="str">
        <f aca="false">IF(OR(ISNUMBER(SEARCH(","&amp;O$1&amp;",",","&amp;SUBSTITUTE(FAQs!$G17," ","")&amp;",")),AND(OR(FAQs!$E17="both",Routes!$C$14="both",FAQs!$E17=Routes!$C$14),OR(Routes!$D$14="ALL",COUNTIF(Routes!$D$14:$G$14,FAQs!$C17)&gt;0,AND(FAQs!$D17&lt;&gt;"",COUNTIF(Routes!$D$14:$G$14,FAQs!$D17)&gt;0)))),"●","")</f>
        <v/>
      </c>
      <c r="P17" s="12" t="str">
        <f aca="false">IF(OR(ISNUMBER(SEARCH(","&amp;P$1&amp;",",","&amp;SUBSTITUTE(FAQs!$G17," ","")&amp;",")),AND(OR(FAQs!$E17="both",Routes!$C$15="both",FAQs!$E17=Routes!$C$15),OR(Routes!$D$15="ALL",COUNTIF(Routes!$D$15:$G$15,FAQs!$C17)&gt;0,AND(FAQs!$D17&lt;&gt;"",COUNTIF(Routes!$D$15:$G$15,FAQs!$D17)&gt;0)))),"●","")</f>
        <v/>
      </c>
      <c r="Q17" s="12" t="str">
        <f aca="false">IF(OR(ISNUMBER(SEARCH(","&amp;Q$1&amp;",",","&amp;SUBSTITUTE(FAQs!$G17," ","")&amp;",")),AND(OR(FAQs!$E17="both",Routes!$C$16="both",FAQs!$E17=Routes!$C$16),OR(Routes!$D$16="ALL",COUNTIF(Routes!$D$16:$G$16,FAQs!$C17)&gt;0,AND(FAQs!$D17&lt;&gt;"",COUNTIF(Routes!$D$16:$G$16,FAQs!$D17)&gt;0)))),"●","")</f>
        <v/>
      </c>
      <c r="R17" s="12" t="str">
        <f aca="false">IF(OR(ISNUMBER(SEARCH(","&amp;R$1&amp;",",","&amp;SUBSTITUTE(FAQs!$G17," ","")&amp;",")),AND(OR(FAQs!$E17="both",Routes!$C$17="both",FAQs!$E17=Routes!$C$17),OR(Routes!$D$17="ALL",COUNTIF(Routes!$D$17:$G$17,FAQs!$C17)&gt;0,AND(FAQs!$D17&lt;&gt;"",COUNTIF(Routes!$D$17:$G$17,FAQs!$D17)&gt;0)))),"●","")</f>
        <v/>
      </c>
      <c r="S17" s="12" t="str">
        <f aca="false">IF(OR(ISNUMBER(SEARCH(","&amp;S$1&amp;",",","&amp;SUBSTITUTE(FAQs!$G17," ","")&amp;",")),AND(OR(FAQs!$E17="both",Routes!$C$18="both",FAQs!$E17=Routes!$C$18),OR(Routes!$D$18="ALL",COUNTIF(Routes!$D$18:$G$18,FAQs!$C17)&gt;0,AND(FAQs!$D17&lt;&gt;"",COUNTIF(Routes!$D$18:$G$18,FAQs!$D17)&gt;0)))),"●","")</f>
        <v/>
      </c>
      <c r="T17" s="12" t="str">
        <f aca="false">IF(OR(ISNUMBER(SEARCH(","&amp;T$1&amp;",",","&amp;SUBSTITUTE(FAQs!$G17," ","")&amp;",")),AND(OR(FAQs!$E17="both",Routes!$C$19="both",FAQs!$E17=Routes!$C$19),OR(Routes!$D$19="ALL",COUNTIF(Routes!$D$19:$G$19,FAQs!$C17)&gt;0,AND(FAQs!$D17&lt;&gt;"",COUNTIF(Routes!$D$19:$G$19,FAQs!$D17)&gt;0)))),"●","")</f>
        <v/>
      </c>
      <c r="U17" s="9" t="n">
        <f aca="false">COUNTIF(C17:T17,"●")</f>
        <v>3</v>
      </c>
    </row>
    <row r="18" customFormat="false" ht="15" hidden="false" customHeight="false" outlineLevel="0" collapsed="false">
      <c r="A18" s="9" t="str">
        <f aca="false">FAQs!A18</f>
        <v>F17</v>
      </c>
      <c r="B18" s="9" t="str">
        <f aca="false">FAQs!H18</f>
        <v>How do I find my room?</v>
      </c>
      <c r="C18" s="12" t="str">
        <f aca="false">IF(OR(ISNUMBER(SEARCH(","&amp;C$1&amp;",",","&amp;SUBSTITUTE(FAQs!$G18," ","")&amp;",")),AND(OR(FAQs!$E18="both",Routes!$C$2="both",FAQs!$E18=Routes!$C$2),OR(Routes!$D$2="ALL",COUNTIF(Routes!$D$2:$G$2,FAQs!$C18)&gt;0,AND(FAQs!$D18&lt;&gt;"",COUNTIF(Routes!$D$2:$G$2,FAQs!$D18)&gt;0)))),"●","")</f>
        <v/>
      </c>
      <c r="D18" s="12" t="str">
        <f aca="false">IF(OR(ISNUMBER(SEARCH(","&amp;D$1&amp;",",","&amp;SUBSTITUTE(FAQs!$G18," ","")&amp;",")),AND(OR(FAQs!$E18="both",Routes!$C$3="both",FAQs!$E18=Routes!$C$3),OR(Routes!$D$3="ALL",COUNTIF(Routes!$D$3:$G$3,FAQs!$C18)&gt;0,AND(FAQs!$D18&lt;&gt;"",COUNTIF(Routes!$D$3:$G$3,FAQs!$D18)&gt;0)))),"●","")</f>
        <v/>
      </c>
      <c r="E18" s="12" t="str">
        <f aca="false">IF(OR(ISNUMBER(SEARCH(","&amp;E$1&amp;",",","&amp;SUBSTITUTE(FAQs!$G18," ","")&amp;",")),AND(OR(FAQs!$E18="both",Routes!$C$4="both",FAQs!$E18=Routes!$C$4),OR(Routes!$D$4="ALL",COUNTIF(Routes!$D$4:$G$4,FAQs!$C18)&gt;0,AND(FAQs!$D18&lt;&gt;"",COUNTIF(Routes!$D$4:$G$4,FAQs!$D18)&gt;0)))),"●","")</f>
        <v/>
      </c>
      <c r="F18" s="12" t="str">
        <f aca="false">IF(OR(ISNUMBER(SEARCH(","&amp;F$1&amp;",",","&amp;SUBSTITUTE(FAQs!$G18," ","")&amp;",")),AND(OR(FAQs!$E18="both",Routes!$C$5="both",FAQs!$E18=Routes!$C$5),OR(Routes!$D$5="ALL",COUNTIF(Routes!$D$5:$G$5,FAQs!$C18)&gt;0,AND(FAQs!$D18&lt;&gt;"",COUNTIF(Routes!$D$5:$G$5,FAQs!$D18)&gt;0)))),"●","")</f>
        <v/>
      </c>
      <c r="G18" s="12" t="str">
        <f aca="false">IF(OR(ISNUMBER(SEARCH(","&amp;G$1&amp;",",","&amp;SUBSTITUTE(FAQs!$G18," ","")&amp;",")),AND(OR(FAQs!$E18="both",Routes!$C$6="both",FAQs!$E18=Routes!$C$6),OR(Routes!$D$6="ALL",COUNTIF(Routes!$D$6:$G$6,FAQs!$C18)&gt;0,AND(FAQs!$D18&lt;&gt;"",COUNTIF(Routes!$D$6:$G$6,FAQs!$D18)&gt;0)))),"●","")</f>
        <v/>
      </c>
      <c r="H18" s="12" t="str">
        <f aca="false">IF(OR(ISNUMBER(SEARCH(","&amp;H$1&amp;",",","&amp;SUBSTITUTE(FAQs!$G18," ","")&amp;",")),AND(OR(FAQs!$E18="both",Routes!$C$7="both",FAQs!$E18=Routes!$C$7),OR(Routes!$D$7="ALL",COUNTIF(Routes!$D$7:$G$7,FAQs!$C18)&gt;0,AND(FAQs!$D18&lt;&gt;"",COUNTIF(Routes!$D$7:$G$7,FAQs!$D18)&gt;0)))),"●","")</f>
        <v/>
      </c>
      <c r="I18" s="12" t="str">
        <f aca="false">IF(OR(ISNUMBER(SEARCH(","&amp;I$1&amp;",",","&amp;SUBSTITUTE(FAQs!$G18," ","")&amp;",")),AND(OR(FAQs!$E18="both",Routes!$C$8="both",FAQs!$E18=Routes!$C$8),OR(Routes!$D$8="ALL",COUNTIF(Routes!$D$8:$G$8,FAQs!$C18)&gt;0,AND(FAQs!$D18&lt;&gt;"",COUNTIF(Routes!$D$8:$G$8,FAQs!$D18)&gt;0)))),"●","")</f>
        <v/>
      </c>
      <c r="J18" s="12" t="str">
        <f aca="false">IF(OR(ISNUMBER(SEARCH(","&amp;J$1&amp;",",","&amp;SUBSTITUTE(FAQs!$G18," ","")&amp;",")),AND(OR(FAQs!$E18="both",Routes!$C$9="both",FAQs!$E18=Routes!$C$9),OR(Routes!$D$9="ALL",COUNTIF(Routes!$D$9:$G$9,FAQs!$C18)&gt;0,AND(FAQs!$D18&lt;&gt;"",COUNTIF(Routes!$D$9:$G$9,FAQs!$D18)&gt;0)))),"●","")</f>
        <v/>
      </c>
      <c r="K18" s="12" t="str">
        <f aca="false">IF(OR(ISNUMBER(SEARCH(","&amp;K$1&amp;",",","&amp;SUBSTITUTE(FAQs!$G18," ","")&amp;",")),AND(OR(FAQs!$E18="both",Routes!$C$10="both",FAQs!$E18=Routes!$C$10),OR(Routes!$D$10="ALL",COUNTIF(Routes!$D$10:$G$10,FAQs!$C18)&gt;0,AND(FAQs!$D18&lt;&gt;"",COUNTIF(Routes!$D$10:$G$10,FAQs!$D18)&gt;0)))),"●","")</f>
        <v/>
      </c>
      <c r="L18" s="12" t="str">
        <f aca="false">IF(OR(ISNUMBER(SEARCH(","&amp;L$1&amp;",",","&amp;SUBSTITUTE(FAQs!$G18," ","")&amp;",")),AND(OR(FAQs!$E18="both",Routes!$C$11="both",FAQs!$E18=Routes!$C$11),OR(Routes!$D$11="ALL",COUNTIF(Routes!$D$11:$G$11,FAQs!$C18)&gt;0,AND(FAQs!$D18&lt;&gt;"",COUNTIF(Routes!$D$11:$G$11,FAQs!$D18)&gt;0)))),"●","")</f>
        <v/>
      </c>
      <c r="M18" s="12" t="str">
        <f aca="false">IF(OR(ISNUMBER(SEARCH(","&amp;M$1&amp;",",","&amp;SUBSTITUTE(FAQs!$G18," ","")&amp;",")),AND(OR(FAQs!$E18="both",Routes!$C$12="both",FAQs!$E18=Routes!$C$12),OR(Routes!$D$12="ALL",COUNTIF(Routes!$D$12:$G$12,FAQs!$C18)&gt;0,AND(FAQs!$D18&lt;&gt;"",COUNTIF(Routes!$D$12:$G$12,FAQs!$D18)&gt;0)))),"●","")</f>
        <v/>
      </c>
      <c r="N18" s="12" t="str">
        <f aca="false">IF(OR(ISNUMBER(SEARCH(","&amp;N$1&amp;",",","&amp;SUBSTITUTE(FAQs!$G18," ","")&amp;",")),AND(OR(FAQs!$E18="both",Routes!$C$13="both",FAQs!$E18=Routes!$C$13),OR(Routes!$D$13="ALL",COUNTIF(Routes!$D$13:$G$13,FAQs!$C18)&gt;0,AND(FAQs!$D18&lt;&gt;"",COUNTIF(Routes!$D$13:$G$13,FAQs!$D18)&gt;0)))),"●","")</f>
        <v/>
      </c>
      <c r="O18" s="12" t="str">
        <f aca="false">IF(OR(ISNUMBER(SEARCH(","&amp;O$1&amp;",",","&amp;SUBSTITUTE(FAQs!$G18," ","")&amp;",")),AND(OR(FAQs!$E18="both",Routes!$C$14="both",FAQs!$E18=Routes!$C$14),OR(Routes!$D$14="ALL",COUNTIF(Routes!$D$14:$G$14,FAQs!$C18)&gt;0,AND(FAQs!$D18&lt;&gt;"",COUNTIF(Routes!$D$14:$G$14,FAQs!$D18)&gt;0)))),"●","")</f>
        <v>●</v>
      </c>
      <c r="P18" s="12" t="str">
        <f aca="false">IF(OR(ISNUMBER(SEARCH(","&amp;P$1&amp;",",","&amp;SUBSTITUTE(FAQs!$G18," ","")&amp;",")),AND(OR(FAQs!$E18="both",Routes!$C$15="both",FAQs!$E18=Routes!$C$15),OR(Routes!$D$15="ALL",COUNTIF(Routes!$D$15:$G$15,FAQs!$C18)&gt;0,AND(FAQs!$D18&lt;&gt;"",COUNTIF(Routes!$D$15:$G$15,FAQs!$D18)&gt;0)))),"●","")</f>
        <v/>
      </c>
      <c r="Q18" s="12" t="str">
        <f aca="false">IF(OR(ISNUMBER(SEARCH(","&amp;Q$1&amp;",",","&amp;SUBSTITUTE(FAQs!$G18," ","")&amp;",")),AND(OR(FAQs!$E18="both",Routes!$C$16="both",FAQs!$E18=Routes!$C$16),OR(Routes!$D$16="ALL",COUNTIF(Routes!$D$16:$G$16,FAQs!$C18)&gt;0,AND(FAQs!$D18&lt;&gt;"",COUNTIF(Routes!$D$16:$G$16,FAQs!$D18)&gt;0)))),"●","")</f>
        <v/>
      </c>
      <c r="R18" s="12" t="str">
        <f aca="false">IF(OR(ISNUMBER(SEARCH(","&amp;R$1&amp;",",","&amp;SUBSTITUTE(FAQs!$G18," ","")&amp;",")),AND(OR(FAQs!$E18="both",Routes!$C$17="both",FAQs!$E18=Routes!$C$17),OR(Routes!$D$17="ALL",COUNTIF(Routes!$D$17:$G$17,FAQs!$C18)&gt;0,AND(FAQs!$D18&lt;&gt;"",COUNTIF(Routes!$D$17:$G$17,FAQs!$D18)&gt;0)))),"●","")</f>
        <v/>
      </c>
      <c r="S18" s="12" t="str">
        <f aca="false">IF(OR(ISNUMBER(SEARCH(","&amp;S$1&amp;",",","&amp;SUBSTITUTE(FAQs!$G18," ","")&amp;",")),AND(OR(FAQs!$E18="both",Routes!$C$18="both",FAQs!$E18=Routes!$C$18),OR(Routes!$D$18="ALL",COUNTIF(Routes!$D$18:$G$18,FAQs!$C18)&gt;0,AND(FAQs!$D18&lt;&gt;"",COUNTIF(Routes!$D$18:$G$18,FAQs!$D18)&gt;0)))),"●","")</f>
        <v/>
      </c>
      <c r="T18" s="12" t="str">
        <f aca="false">IF(OR(ISNUMBER(SEARCH(","&amp;T$1&amp;",",","&amp;SUBSTITUTE(FAQs!$G18," ","")&amp;",")),AND(OR(FAQs!$E18="both",Routes!$C$19="both",FAQs!$E18=Routes!$C$19),OR(Routes!$D$19="ALL",COUNTIF(Routes!$D$19:$G$19,FAQs!$C18)&gt;0,AND(FAQs!$D18&lt;&gt;"",COUNTIF(Routes!$D$19:$G$19,FAQs!$D18)&gt;0)))),"●","")</f>
        <v/>
      </c>
      <c r="U18" s="9" t="n">
        <f aca="false">COUNTIF(C18:T18,"●")</f>
        <v>1</v>
      </c>
    </row>
    <row r="19" customFormat="false" ht="15" hidden="false" customHeight="false" outlineLevel="0" collapsed="false">
      <c r="A19" s="9" t="str">
        <f aca="false">FAQs!A19</f>
        <v>F18</v>
      </c>
      <c r="B19" s="9" t="str">
        <f aca="false">FAQs!H19</f>
        <v>Do I need my key card to use the lifts?</v>
      </c>
      <c r="C19" s="12" t="str">
        <f aca="false">IF(OR(ISNUMBER(SEARCH(","&amp;C$1&amp;",",","&amp;SUBSTITUTE(FAQs!$G19," ","")&amp;",")),AND(OR(FAQs!$E19="both",Routes!$C$2="both",FAQs!$E19=Routes!$C$2),OR(Routes!$D$2="ALL",COUNTIF(Routes!$D$2:$G$2,FAQs!$C19)&gt;0,AND(FAQs!$D19&lt;&gt;"",COUNTIF(Routes!$D$2:$G$2,FAQs!$D19)&gt;0)))),"●","")</f>
        <v/>
      </c>
      <c r="D19" s="12" t="str">
        <f aca="false">IF(OR(ISNUMBER(SEARCH(","&amp;D$1&amp;",",","&amp;SUBSTITUTE(FAQs!$G19," ","")&amp;",")),AND(OR(FAQs!$E19="both",Routes!$C$3="both",FAQs!$E19=Routes!$C$3),OR(Routes!$D$3="ALL",COUNTIF(Routes!$D$3:$G$3,FAQs!$C19)&gt;0,AND(FAQs!$D19&lt;&gt;"",COUNTIF(Routes!$D$3:$G$3,FAQs!$D19)&gt;0)))),"●","")</f>
        <v/>
      </c>
      <c r="E19" s="12" t="str">
        <f aca="false">IF(OR(ISNUMBER(SEARCH(","&amp;E$1&amp;",",","&amp;SUBSTITUTE(FAQs!$G19," ","")&amp;",")),AND(OR(FAQs!$E19="both",Routes!$C$4="both",FAQs!$E19=Routes!$C$4),OR(Routes!$D$4="ALL",COUNTIF(Routes!$D$4:$G$4,FAQs!$C19)&gt;0,AND(FAQs!$D19&lt;&gt;"",COUNTIF(Routes!$D$4:$G$4,FAQs!$D19)&gt;0)))),"●","")</f>
        <v/>
      </c>
      <c r="F19" s="12" t="str">
        <f aca="false">IF(OR(ISNUMBER(SEARCH(","&amp;F$1&amp;",",","&amp;SUBSTITUTE(FAQs!$G19," ","")&amp;",")),AND(OR(FAQs!$E19="both",Routes!$C$5="both",FAQs!$E19=Routes!$C$5),OR(Routes!$D$5="ALL",COUNTIF(Routes!$D$5:$G$5,FAQs!$C19)&gt;0,AND(FAQs!$D19&lt;&gt;"",COUNTIF(Routes!$D$5:$G$5,FAQs!$D19)&gt;0)))),"●","")</f>
        <v/>
      </c>
      <c r="G19" s="12" t="str">
        <f aca="false">IF(OR(ISNUMBER(SEARCH(","&amp;G$1&amp;",",","&amp;SUBSTITUTE(FAQs!$G19," ","")&amp;",")),AND(OR(FAQs!$E19="both",Routes!$C$6="both",FAQs!$E19=Routes!$C$6),OR(Routes!$D$6="ALL",COUNTIF(Routes!$D$6:$G$6,FAQs!$C19)&gt;0,AND(FAQs!$D19&lt;&gt;"",COUNTIF(Routes!$D$6:$G$6,FAQs!$D19)&gt;0)))),"●","")</f>
        <v/>
      </c>
      <c r="H19" s="12" t="str">
        <f aca="false">IF(OR(ISNUMBER(SEARCH(","&amp;H$1&amp;",",","&amp;SUBSTITUTE(FAQs!$G19," ","")&amp;",")),AND(OR(FAQs!$E19="both",Routes!$C$7="both",FAQs!$E19=Routes!$C$7),OR(Routes!$D$7="ALL",COUNTIF(Routes!$D$7:$G$7,FAQs!$C19)&gt;0,AND(FAQs!$D19&lt;&gt;"",COUNTIF(Routes!$D$7:$G$7,FAQs!$D19)&gt;0)))),"●","")</f>
        <v/>
      </c>
      <c r="I19" s="12" t="str">
        <f aca="false">IF(OR(ISNUMBER(SEARCH(","&amp;I$1&amp;",",","&amp;SUBSTITUTE(FAQs!$G19," ","")&amp;",")),AND(OR(FAQs!$E19="both",Routes!$C$8="both",FAQs!$E19=Routes!$C$8),OR(Routes!$D$8="ALL",COUNTIF(Routes!$D$8:$G$8,FAQs!$C19)&gt;0,AND(FAQs!$D19&lt;&gt;"",COUNTIF(Routes!$D$8:$G$8,FAQs!$D19)&gt;0)))),"●","")</f>
        <v/>
      </c>
      <c r="J19" s="12" t="str">
        <f aca="false">IF(OR(ISNUMBER(SEARCH(","&amp;J$1&amp;",",","&amp;SUBSTITUTE(FAQs!$G19," ","")&amp;",")),AND(OR(FAQs!$E19="both",Routes!$C$9="both",FAQs!$E19=Routes!$C$9),OR(Routes!$D$9="ALL",COUNTIF(Routes!$D$9:$G$9,FAQs!$C19)&gt;0,AND(FAQs!$D19&lt;&gt;"",COUNTIF(Routes!$D$9:$G$9,FAQs!$D19)&gt;0)))),"●","")</f>
        <v/>
      </c>
      <c r="K19" s="12" t="str">
        <f aca="false">IF(OR(ISNUMBER(SEARCH(","&amp;K$1&amp;",",","&amp;SUBSTITUTE(FAQs!$G19," ","")&amp;",")),AND(OR(FAQs!$E19="both",Routes!$C$10="both",FAQs!$E19=Routes!$C$10),OR(Routes!$D$10="ALL",COUNTIF(Routes!$D$10:$G$10,FAQs!$C19)&gt;0,AND(FAQs!$D19&lt;&gt;"",COUNTIF(Routes!$D$10:$G$10,FAQs!$D19)&gt;0)))),"●","")</f>
        <v/>
      </c>
      <c r="L19" s="12" t="str">
        <f aca="false">IF(OR(ISNUMBER(SEARCH(","&amp;L$1&amp;",",","&amp;SUBSTITUTE(FAQs!$G19," ","")&amp;",")),AND(OR(FAQs!$E19="both",Routes!$C$11="both",FAQs!$E19=Routes!$C$11),OR(Routes!$D$11="ALL",COUNTIF(Routes!$D$11:$G$11,FAQs!$C19)&gt;0,AND(FAQs!$D19&lt;&gt;"",COUNTIF(Routes!$D$11:$G$11,FAQs!$D19)&gt;0)))),"●","")</f>
        <v/>
      </c>
      <c r="M19" s="12" t="str">
        <f aca="false">IF(OR(ISNUMBER(SEARCH(","&amp;M$1&amp;",",","&amp;SUBSTITUTE(FAQs!$G19," ","")&amp;",")),AND(OR(FAQs!$E19="both",Routes!$C$12="both",FAQs!$E19=Routes!$C$12),OR(Routes!$D$12="ALL",COUNTIF(Routes!$D$12:$G$12,FAQs!$C19)&gt;0,AND(FAQs!$D19&lt;&gt;"",COUNTIF(Routes!$D$12:$G$12,FAQs!$D19)&gt;0)))),"●","")</f>
        <v/>
      </c>
      <c r="N19" s="12" t="str">
        <f aca="false">IF(OR(ISNUMBER(SEARCH(","&amp;N$1&amp;",",","&amp;SUBSTITUTE(FAQs!$G19," ","")&amp;",")),AND(OR(FAQs!$E19="both",Routes!$C$13="both",FAQs!$E19=Routes!$C$13),OR(Routes!$D$13="ALL",COUNTIF(Routes!$D$13:$G$13,FAQs!$C19)&gt;0,AND(FAQs!$D19&lt;&gt;"",COUNTIF(Routes!$D$13:$G$13,FAQs!$D19)&gt;0)))),"●","")</f>
        <v/>
      </c>
      <c r="O19" s="12" t="str">
        <f aca="false">IF(OR(ISNUMBER(SEARCH(","&amp;O$1&amp;",",","&amp;SUBSTITUTE(FAQs!$G19," ","")&amp;",")),AND(OR(FAQs!$E19="both",Routes!$C$14="both",FAQs!$E19=Routes!$C$14),OR(Routes!$D$14="ALL",COUNTIF(Routes!$D$14:$G$14,FAQs!$C19)&gt;0,AND(FAQs!$D19&lt;&gt;"",COUNTIF(Routes!$D$14:$G$14,FAQs!$D19)&gt;0)))),"●","")</f>
        <v>●</v>
      </c>
      <c r="P19" s="12" t="str">
        <f aca="false">IF(OR(ISNUMBER(SEARCH(","&amp;P$1&amp;",",","&amp;SUBSTITUTE(FAQs!$G19," ","")&amp;",")),AND(OR(FAQs!$E19="both",Routes!$C$15="both",FAQs!$E19=Routes!$C$15),OR(Routes!$D$15="ALL",COUNTIF(Routes!$D$15:$G$15,FAQs!$C19)&gt;0,AND(FAQs!$D19&lt;&gt;"",COUNTIF(Routes!$D$15:$G$15,FAQs!$D19)&gt;0)))),"●","")</f>
        <v/>
      </c>
      <c r="Q19" s="12" t="str">
        <f aca="false">IF(OR(ISNUMBER(SEARCH(","&amp;Q$1&amp;",",","&amp;SUBSTITUTE(FAQs!$G19," ","")&amp;",")),AND(OR(FAQs!$E19="both",Routes!$C$16="both",FAQs!$E19=Routes!$C$16),OR(Routes!$D$16="ALL",COUNTIF(Routes!$D$16:$G$16,FAQs!$C19)&gt;0,AND(FAQs!$D19&lt;&gt;"",COUNTIF(Routes!$D$16:$G$16,FAQs!$D19)&gt;0)))),"●","")</f>
        <v/>
      </c>
      <c r="R19" s="12" t="str">
        <f aca="false">IF(OR(ISNUMBER(SEARCH(","&amp;R$1&amp;",",","&amp;SUBSTITUTE(FAQs!$G19," ","")&amp;",")),AND(OR(FAQs!$E19="both",Routes!$C$17="both",FAQs!$E19=Routes!$C$17),OR(Routes!$D$17="ALL",COUNTIF(Routes!$D$17:$G$17,FAQs!$C19)&gt;0,AND(FAQs!$D19&lt;&gt;"",COUNTIF(Routes!$D$17:$G$17,FAQs!$D19)&gt;0)))),"●","")</f>
        <v/>
      </c>
      <c r="S19" s="12" t="str">
        <f aca="false">IF(OR(ISNUMBER(SEARCH(","&amp;S$1&amp;",",","&amp;SUBSTITUTE(FAQs!$G19," ","")&amp;",")),AND(OR(FAQs!$E19="both",Routes!$C$18="both",FAQs!$E19=Routes!$C$18),OR(Routes!$D$18="ALL",COUNTIF(Routes!$D$18:$G$18,FAQs!$C19)&gt;0,AND(FAQs!$D19&lt;&gt;"",COUNTIF(Routes!$D$18:$G$18,FAQs!$D19)&gt;0)))),"●","")</f>
        <v/>
      </c>
      <c r="T19" s="12" t="str">
        <f aca="false">IF(OR(ISNUMBER(SEARCH(","&amp;T$1&amp;",",","&amp;SUBSTITUTE(FAQs!$G19," ","")&amp;",")),AND(OR(FAQs!$E19="both",Routes!$C$19="both",FAQs!$E19=Routes!$C$19),OR(Routes!$D$19="ALL",COUNTIF(Routes!$D$19:$G$19,FAQs!$C19)&gt;0,AND(FAQs!$D19&lt;&gt;"",COUNTIF(Routes!$D$19:$G$19,FAQs!$D19)&gt;0)))),"●","")</f>
        <v/>
      </c>
      <c r="U19" s="9" t="n">
        <f aca="false">COUNTIF(C19:T19,"●")</f>
        <v>1</v>
      </c>
    </row>
    <row r="20" customFormat="false" ht="15" hidden="false" customHeight="false" outlineLevel="0" collapsed="false">
      <c r="A20" s="9" t="str">
        <f aca="false">FAQs!A20</f>
        <v>F19</v>
      </c>
      <c r="B20" s="9" t="str">
        <f aca="false">FAQs!H20</f>
        <v>Is there a Nespresso machine in the room?</v>
      </c>
      <c r="C20" s="12" t="str">
        <f aca="false">IF(OR(ISNUMBER(SEARCH(","&amp;C$1&amp;",",","&amp;SUBSTITUTE(FAQs!$G20," ","")&amp;",")),AND(OR(FAQs!$E20="both",Routes!$C$2="both",FAQs!$E20=Routes!$C$2),OR(Routes!$D$2="ALL",COUNTIF(Routes!$D$2:$G$2,FAQs!$C20)&gt;0,AND(FAQs!$D20&lt;&gt;"",COUNTIF(Routes!$D$2:$G$2,FAQs!$D20)&gt;0)))),"●","")</f>
        <v/>
      </c>
      <c r="D20" s="12" t="str">
        <f aca="false">IF(OR(ISNUMBER(SEARCH(","&amp;D$1&amp;",",","&amp;SUBSTITUTE(FAQs!$G20," ","")&amp;",")),AND(OR(FAQs!$E20="both",Routes!$C$3="both",FAQs!$E20=Routes!$C$3),OR(Routes!$D$3="ALL",COUNTIF(Routes!$D$3:$G$3,FAQs!$C20)&gt;0,AND(FAQs!$D20&lt;&gt;"",COUNTIF(Routes!$D$3:$G$3,FAQs!$D20)&gt;0)))),"●","")</f>
        <v>●</v>
      </c>
      <c r="E20" s="12" t="str">
        <f aca="false">IF(OR(ISNUMBER(SEARCH(","&amp;E$1&amp;",",","&amp;SUBSTITUTE(FAQs!$G20," ","")&amp;",")),AND(OR(FAQs!$E20="both",Routes!$C$4="both",FAQs!$E20=Routes!$C$4),OR(Routes!$D$4="ALL",COUNTIF(Routes!$D$4:$G$4,FAQs!$C20)&gt;0,AND(FAQs!$D20&lt;&gt;"",COUNTIF(Routes!$D$4:$G$4,FAQs!$D20)&gt;0)))),"●","")</f>
        <v>●</v>
      </c>
      <c r="F20" s="12" t="str">
        <f aca="false">IF(OR(ISNUMBER(SEARCH(","&amp;F$1&amp;",",","&amp;SUBSTITUTE(FAQs!$G20," ","")&amp;",")),AND(OR(FAQs!$E20="both",Routes!$C$5="both",FAQs!$E20=Routes!$C$5),OR(Routes!$D$5="ALL",COUNTIF(Routes!$D$5:$G$5,FAQs!$C20)&gt;0,AND(FAQs!$D20&lt;&gt;"",COUNTIF(Routes!$D$5:$G$5,FAQs!$D20)&gt;0)))),"●","")</f>
        <v/>
      </c>
      <c r="G20" s="12" t="str">
        <f aca="false">IF(OR(ISNUMBER(SEARCH(","&amp;G$1&amp;",",","&amp;SUBSTITUTE(FAQs!$G20," ","")&amp;",")),AND(OR(FAQs!$E20="both",Routes!$C$6="both",FAQs!$E20=Routes!$C$6),OR(Routes!$D$6="ALL",COUNTIF(Routes!$D$6:$G$6,FAQs!$C20)&gt;0,AND(FAQs!$D20&lt;&gt;"",COUNTIF(Routes!$D$6:$G$6,FAQs!$D20)&gt;0)))),"●","")</f>
        <v/>
      </c>
      <c r="H20" s="12" t="str">
        <f aca="false">IF(OR(ISNUMBER(SEARCH(","&amp;H$1&amp;",",","&amp;SUBSTITUTE(FAQs!$G20," ","")&amp;",")),AND(OR(FAQs!$E20="both",Routes!$C$7="both",FAQs!$E20=Routes!$C$7),OR(Routes!$D$7="ALL",COUNTIF(Routes!$D$7:$G$7,FAQs!$C20)&gt;0,AND(FAQs!$D20&lt;&gt;"",COUNTIF(Routes!$D$7:$G$7,FAQs!$D20)&gt;0)))),"●","")</f>
        <v/>
      </c>
      <c r="I20" s="12" t="str">
        <f aca="false">IF(OR(ISNUMBER(SEARCH(","&amp;I$1&amp;",",","&amp;SUBSTITUTE(FAQs!$G20," ","")&amp;",")),AND(OR(FAQs!$E20="both",Routes!$C$8="both",FAQs!$E20=Routes!$C$8),OR(Routes!$D$8="ALL",COUNTIF(Routes!$D$8:$G$8,FAQs!$C20)&gt;0,AND(FAQs!$D20&lt;&gt;"",COUNTIF(Routes!$D$8:$G$8,FAQs!$D20)&gt;0)))),"●","")</f>
        <v/>
      </c>
      <c r="J20" s="12" t="str">
        <f aca="false">IF(OR(ISNUMBER(SEARCH(","&amp;J$1&amp;",",","&amp;SUBSTITUTE(FAQs!$G20," ","")&amp;",")),AND(OR(FAQs!$E20="both",Routes!$C$9="both",FAQs!$E20=Routes!$C$9),OR(Routes!$D$9="ALL",COUNTIF(Routes!$D$9:$G$9,FAQs!$C20)&gt;0,AND(FAQs!$D20&lt;&gt;"",COUNTIF(Routes!$D$9:$G$9,FAQs!$D20)&gt;0)))),"●","")</f>
        <v/>
      </c>
      <c r="K20" s="12" t="str">
        <f aca="false">IF(OR(ISNUMBER(SEARCH(","&amp;K$1&amp;",",","&amp;SUBSTITUTE(FAQs!$G20," ","")&amp;",")),AND(OR(FAQs!$E20="both",Routes!$C$10="both",FAQs!$E20=Routes!$C$10),OR(Routes!$D$10="ALL",COUNTIF(Routes!$D$10:$G$10,FAQs!$C20)&gt;0,AND(FAQs!$D20&lt;&gt;"",COUNTIF(Routes!$D$10:$G$10,FAQs!$D20)&gt;0)))),"●","")</f>
        <v>●</v>
      </c>
      <c r="L20" s="12" t="str">
        <f aca="false">IF(OR(ISNUMBER(SEARCH(","&amp;L$1&amp;",",","&amp;SUBSTITUTE(FAQs!$G20," ","")&amp;",")),AND(OR(FAQs!$E20="both",Routes!$C$11="both",FAQs!$E20=Routes!$C$11),OR(Routes!$D$11="ALL",COUNTIF(Routes!$D$11:$G$11,FAQs!$C20)&gt;0,AND(FAQs!$D20&lt;&gt;"",COUNTIF(Routes!$D$11:$G$11,FAQs!$D20)&gt;0)))),"●","")</f>
        <v/>
      </c>
      <c r="M20" s="12" t="str">
        <f aca="false">IF(OR(ISNUMBER(SEARCH(","&amp;M$1&amp;",",","&amp;SUBSTITUTE(FAQs!$G20," ","")&amp;",")),AND(OR(FAQs!$E20="both",Routes!$C$12="both",FAQs!$E20=Routes!$C$12),OR(Routes!$D$12="ALL",COUNTIF(Routes!$D$12:$G$12,FAQs!$C20)&gt;0,AND(FAQs!$D20&lt;&gt;"",COUNTIF(Routes!$D$12:$G$12,FAQs!$D20)&gt;0)))),"●","")</f>
        <v/>
      </c>
      <c r="N20" s="12" t="str">
        <f aca="false">IF(OR(ISNUMBER(SEARCH(","&amp;N$1&amp;",",","&amp;SUBSTITUTE(FAQs!$G20," ","")&amp;",")),AND(OR(FAQs!$E20="both",Routes!$C$13="both",FAQs!$E20=Routes!$C$13),OR(Routes!$D$13="ALL",COUNTIF(Routes!$D$13:$G$13,FAQs!$C20)&gt;0,AND(FAQs!$D20&lt;&gt;"",COUNTIF(Routes!$D$13:$G$13,FAQs!$D20)&gt;0)))),"●","")</f>
        <v/>
      </c>
      <c r="O20" s="12" t="str">
        <f aca="false">IF(OR(ISNUMBER(SEARCH(","&amp;O$1&amp;",",","&amp;SUBSTITUTE(FAQs!$G20," ","")&amp;",")),AND(OR(FAQs!$E20="both",Routes!$C$14="both",FAQs!$E20=Routes!$C$14),OR(Routes!$D$14="ALL",COUNTIF(Routes!$D$14:$G$14,FAQs!$C20)&gt;0,AND(FAQs!$D20&lt;&gt;"",COUNTIF(Routes!$D$14:$G$14,FAQs!$D20)&gt;0)))),"●","")</f>
        <v>●</v>
      </c>
      <c r="P20" s="12" t="str">
        <f aca="false">IF(OR(ISNUMBER(SEARCH(","&amp;P$1&amp;",",","&amp;SUBSTITUTE(FAQs!$G20," ","")&amp;",")),AND(OR(FAQs!$E20="both",Routes!$C$15="both",FAQs!$E20=Routes!$C$15),OR(Routes!$D$15="ALL",COUNTIF(Routes!$D$15:$G$15,FAQs!$C20)&gt;0,AND(FAQs!$D20&lt;&gt;"",COUNTIF(Routes!$D$15:$G$15,FAQs!$D20)&gt;0)))),"●","")</f>
        <v/>
      </c>
      <c r="Q20" s="12" t="str">
        <f aca="false">IF(OR(ISNUMBER(SEARCH(","&amp;Q$1&amp;",",","&amp;SUBSTITUTE(FAQs!$G20," ","")&amp;",")),AND(OR(FAQs!$E20="both",Routes!$C$16="both",FAQs!$E20=Routes!$C$16),OR(Routes!$D$16="ALL",COUNTIF(Routes!$D$16:$G$16,FAQs!$C20)&gt;0,AND(FAQs!$D20&lt;&gt;"",COUNTIF(Routes!$D$16:$G$16,FAQs!$D20)&gt;0)))),"●","")</f>
        <v/>
      </c>
      <c r="R20" s="12" t="str">
        <f aca="false">IF(OR(ISNUMBER(SEARCH(","&amp;R$1&amp;",",","&amp;SUBSTITUTE(FAQs!$G20," ","")&amp;",")),AND(OR(FAQs!$E20="both",Routes!$C$17="both",FAQs!$E20=Routes!$C$17),OR(Routes!$D$17="ALL",COUNTIF(Routes!$D$17:$G$17,FAQs!$C20)&gt;0,AND(FAQs!$D20&lt;&gt;"",COUNTIF(Routes!$D$17:$G$17,FAQs!$D20)&gt;0)))),"●","")</f>
        <v/>
      </c>
      <c r="S20" s="12" t="str">
        <f aca="false">IF(OR(ISNUMBER(SEARCH(","&amp;S$1&amp;",",","&amp;SUBSTITUTE(FAQs!$G20," ","")&amp;",")),AND(OR(FAQs!$E20="both",Routes!$C$18="both",FAQs!$E20=Routes!$C$18),OR(Routes!$D$18="ALL",COUNTIF(Routes!$D$18:$G$18,FAQs!$C20)&gt;0,AND(FAQs!$D20&lt;&gt;"",COUNTIF(Routes!$D$18:$G$18,FAQs!$D20)&gt;0)))),"●","")</f>
        <v/>
      </c>
      <c r="T20" s="12" t="str">
        <f aca="false">IF(OR(ISNUMBER(SEARCH(","&amp;T$1&amp;",",","&amp;SUBSTITUTE(FAQs!$G20," ","")&amp;",")),AND(OR(FAQs!$E20="both",Routes!$C$19="both",FAQs!$E20=Routes!$C$19),OR(Routes!$D$19="ALL",COUNTIF(Routes!$D$19:$G$19,FAQs!$C20)&gt;0,AND(FAQs!$D20&lt;&gt;"",COUNTIF(Routes!$D$19:$G$19,FAQs!$D20)&gt;0)))),"●","")</f>
        <v/>
      </c>
      <c r="U20" s="9" t="n">
        <f aca="false">COUNTIF(C20:T20,"●")</f>
        <v>4</v>
      </c>
    </row>
    <row r="21" customFormat="false" ht="15" hidden="false" customHeight="false" outlineLevel="0" collapsed="false">
      <c r="A21" s="9" t="str">
        <f aca="false">FAQs!A21</f>
        <v>F20</v>
      </c>
      <c r="B21" s="9" t="str">
        <f aca="false">FAQs!H21</f>
        <v>Is my room cleaned every day?</v>
      </c>
      <c r="C21" s="12" t="str">
        <f aca="false">IF(OR(ISNUMBER(SEARCH(","&amp;C$1&amp;",",","&amp;SUBSTITUTE(FAQs!$G21," ","")&amp;",")),AND(OR(FAQs!$E21="both",Routes!$C$2="both",FAQs!$E21=Routes!$C$2),OR(Routes!$D$2="ALL",COUNTIF(Routes!$D$2:$G$2,FAQs!$C21)&gt;0,AND(FAQs!$D21&lt;&gt;"",COUNTIF(Routes!$D$2:$G$2,FAQs!$D21)&gt;0)))),"●","")</f>
        <v/>
      </c>
      <c r="D21" s="12" t="str">
        <f aca="false">IF(OR(ISNUMBER(SEARCH(","&amp;D$1&amp;",",","&amp;SUBSTITUTE(FAQs!$G21," ","")&amp;",")),AND(OR(FAQs!$E21="both",Routes!$C$3="both",FAQs!$E21=Routes!$C$3),OR(Routes!$D$3="ALL",COUNTIF(Routes!$D$3:$G$3,FAQs!$C21)&gt;0,AND(FAQs!$D21&lt;&gt;"",COUNTIF(Routes!$D$3:$G$3,FAQs!$D21)&gt;0)))),"●","")</f>
        <v>●</v>
      </c>
      <c r="E21" s="12" t="str">
        <f aca="false">IF(OR(ISNUMBER(SEARCH(","&amp;E$1&amp;",",","&amp;SUBSTITUTE(FAQs!$G21," ","")&amp;",")),AND(OR(FAQs!$E21="both",Routes!$C$4="both",FAQs!$E21=Routes!$C$4),OR(Routes!$D$4="ALL",COUNTIF(Routes!$D$4:$G$4,FAQs!$C21)&gt;0,AND(FAQs!$D21&lt;&gt;"",COUNTIF(Routes!$D$4:$G$4,FAQs!$D21)&gt;0)))),"●","")</f>
        <v>●</v>
      </c>
      <c r="F21" s="12" t="str">
        <f aca="false">IF(OR(ISNUMBER(SEARCH(","&amp;F$1&amp;",",","&amp;SUBSTITUTE(FAQs!$G21," ","")&amp;",")),AND(OR(FAQs!$E21="both",Routes!$C$5="both",FAQs!$E21=Routes!$C$5),OR(Routes!$D$5="ALL",COUNTIF(Routes!$D$5:$G$5,FAQs!$C21)&gt;0,AND(FAQs!$D21&lt;&gt;"",COUNTIF(Routes!$D$5:$G$5,FAQs!$D21)&gt;0)))),"●","")</f>
        <v>●</v>
      </c>
      <c r="G21" s="12" t="str">
        <f aca="false">IF(OR(ISNUMBER(SEARCH(","&amp;G$1&amp;",",","&amp;SUBSTITUTE(FAQs!$G21," ","")&amp;",")),AND(OR(FAQs!$E21="both",Routes!$C$6="both",FAQs!$E21=Routes!$C$6),OR(Routes!$D$6="ALL",COUNTIF(Routes!$D$6:$G$6,FAQs!$C21)&gt;0,AND(FAQs!$D21&lt;&gt;"",COUNTIF(Routes!$D$6:$G$6,FAQs!$D21)&gt;0)))),"●","")</f>
        <v/>
      </c>
      <c r="H21" s="12" t="str">
        <f aca="false">IF(OR(ISNUMBER(SEARCH(","&amp;H$1&amp;",",","&amp;SUBSTITUTE(FAQs!$G21," ","")&amp;",")),AND(OR(FAQs!$E21="both",Routes!$C$7="both",FAQs!$E21=Routes!$C$7),OR(Routes!$D$7="ALL",COUNTIF(Routes!$D$7:$G$7,FAQs!$C21)&gt;0,AND(FAQs!$D21&lt;&gt;"",COUNTIF(Routes!$D$7:$G$7,FAQs!$D21)&gt;0)))),"●","")</f>
        <v>●</v>
      </c>
      <c r="I21" s="12" t="str">
        <f aca="false">IF(OR(ISNUMBER(SEARCH(","&amp;I$1&amp;",",","&amp;SUBSTITUTE(FAQs!$G21," ","")&amp;",")),AND(OR(FAQs!$E21="both",Routes!$C$8="both",FAQs!$E21=Routes!$C$8),OR(Routes!$D$8="ALL",COUNTIF(Routes!$D$8:$G$8,FAQs!$C21)&gt;0,AND(FAQs!$D21&lt;&gt;"",COUNTIF(Routes!$D$8:$G$8,FAQs!$D21)&gt;0)))),"●","")</f>
        <v/>
      </c>
      <c r="J21" s="12" t="str">
        <f aca="false">IF(OR(ISNUMBER(SEARCH(","&amp;J$1&amp;",",","&amp;SUBSTITUTE(FAQs!$G21," ","")&amp;",")),AND(OR(FAQs!$E21="both",Routes!$C$9="both",FAQs!$E21=Routes!$C$9),OR(Routes!$D$9="ALL",COUNTIF(Routes!$D$9:$G$9,FAQs!$C21)&gt;0,AND(FAQs!$D21&lt;&gt;"",COUNTIF(Routes!$D$9:$G$9,FAQs!$D21)&gt;0)))),"●","")</f>
        <v/>
      </c>
      <c r="K21" s="12" t="str">
        <f aca="false">IF(OR(ISNUMBER(SEARCH(","&amp;K$1&amp;",",","&amp;SUBSTITUTE(FAQs!$G21," ","")&amp;",")),AND(OR(FAQs!$E21="both",Routes!$C$10="both",FAQs!$E21=Routes!$C$10),OR(Routes!$D$10="ALL",COUNTIF(Routes!$D$10:$G$10,FAQs!$C21)&gt;0,AND(FAQs!$D21&lt;&gt;"",COUNTIF(Routes!$D$10:$G$10,FAQs!$D21)&gt;0)))),"●","")</f>
        <v>●</v>
      </c>
      <c r="L21" s="12" t="str">
        <f aca="false">IF(OR(ISNUMBER(SEARCH(","&amp;L$1&amp;",",","&amp;SUBSTITUTE(FAQs!$G21," ","")&amp;",")),AND(OR(FAQs!$E21="both",Routes!$C$11="both",FAQs!$E21=Routes!$C$11),OR(Routes!$D$11="ALL",COUNTIF(Routes!$D$11:$G$11,FAQs!$C21)&gt;0,AND(FAQs!$D21&lt;&gt;"",COUNTIF(Routes!$D$11:$G$11,FAQs!$D21)&gt;0)))),"●","")</f>
        <v/>
      </c>
      <c r="M21" s="12" t="str">
        <f aca="false">IF(OR(ISNUMBER(SEARCH(","&amp;M$1&amp;",",","&amp;SUBSTITUTE(FAQs!$G21," ","")&amp;",")),AND(OR(FAQs!$E21="both",Routes!$C$12="both",FAQs!$E21=Routes!$C$12),OR(Routes!$D$12="ALL",COUNTIF(Routes!$D$12:$G$12,FAQs!$C21)&gt;0,AND(FAQs!$D21&lt;&gt;"",COUNTIF(Routes!$D$12:$G$12,FAQs!$D21)&gt;0)))),"●","")</f>
        <v/>
      </c>
      <c r="N21" s="12" t="str">
        <f aca="false">IF(OR(ISNUMBER(SEARCH(","&amp;N$1&amp;",",","&amp;SUBSTITUTE(FAQs!$G21," ","")&amp;",")),AND(OR(FAQs!$E21="both",Routes!$C$13="both",FAQs!$E21=Routes!$C$13),OR(Routes!$D$13="ALL",COUNTIF(Routes!$D$13:$G$13,FAQs!$C21)&gt;0,AND(FAQs!$D21&lt;&gt;"",COUNTIF(Routes!$D$13:$G$13,FAQs!$D21)&gt;0)))),"●","")</f>
        <v/>
      </c>
      <c r="O21" s="12" t="str">
        <f aca="false">IF(OR(ISNUMBER(SEARCH(","&amp;O$1&amp;",",","&amp;SUBSTITUTE(FAQs!$G21," ","")&amp;",")),AND(OR(FAQs!$E21="both",Routes!$C$14="both",FAQs!$E21=Routes!$C$14),OR(Routes!$D$14="ALL",COUNTIF(Routes!$D$14:$G$14,FAQs!$C21)&gt;0,AND(FAQs!$D21&lt;&gt;"",COUNTIF(Routes!$D$14:$G$14,FAQs!$D21)&gt;0)))),"●","")</f>
        <v>●</v>
      </c>
      <c r="P21" s="12" t="str">
        <f aca="false">IF(OR(ISNUMBER(SEARCH(","&amp;P$1&amp;",",","&amp;SUBSTITUTE(FAQs!$G21," ","")&amp;",")),AND(OR(FAQs!$E21="both",Routes!$C$15="both",FAQs!$E21=Routes!$C$15),OR(Routes!$D$15="ALL",COUNTIF(Routes!$D$15:$G$15,FAQs!$C21)&gt;0,AND(FAQs!$D21&lt;&gt;"",COUNTIF(Routes!$D$15:$G$15,FAQs!$D21)&gt;0)))),"●","")</f>
        <v/>
      </c>
      <c r="Q21" s="12" t="str">
        <f aca="false">IF(OR(ISNUMBER(SEARCH(","&amp;Q$1&amp;",",","&amp;SUBSTITUTE(FAQs!$G21," ","")&amp;",")),AND(OR(FAQs!$E21="both",Routes!$C$16="both",FAQs!$E21=Routes!$C$16),OR(Routes!$D$16="ALL",COUNTIF(Routes!$D$16:$G$16,FAQs!$C21)&gt;0,AND(FAQs!$D21&lt;&gt;"",COUNTIF(Routes!$D$16:$G$16,FAQs!$D21)&gt;0)))),"●","")</f>
        <v/>
      </c>
      <c r="R21" s="12" t="str">
        <f aca="false">IF(OR(ISNUMBER(SEARCH(","&amp;R$1&amp;",",","&amp;SUBSTITUTE(FAQs!$G21," ","")&amp;",")),AND(OR(FAQs!$E21="both",Routes!$C$17="both",FAQs!$E21=Routes!$C$17),OR(Routes!$D$17="ALL",COUNTIF(Routes!$D$17:$G$17,FAQs!$C21)&gt;0,AND(FAQs!$D21&lt;&gt;"",COUNTIF(Routes!$D$17:$G$17,FAQs!$D21)&gt;0)))),"●","")</f>
        <v/>
      </c>
      <c r="S21" s="12" t="str">
        <f aca="false">IF(OR(ISNUMBER(SEARCH(","&amp;S$1&amp;",",","&amp;SUBSTITUTE(FAQs!$G21," ","")&amp;",")),AND(OR(FAQs!$E21="both",Routes!$C$18="both",FAQs!$E21=Routes!$C$18),OR(Routes!$D$18="ALL",COUNTIF(Routes!$D$18:$G$18,FAQs!$C21)&gt;0,AND(FAQs!$D21&lt;&gt;"",COUNTIF(Routes!$D$18:$G$18,FAQs!$D21)&gt;0)))),"●","")</f>
        <v/>
      </c>
      <c r="T21" s="12" t="str">
        <f aca="false">IF(OR(ISNUMBER(SEARCH(","&amp;T$1&amp;",",","&amp;SUBSTITUTE(FAQs!$G21," ","")&amp;",")),AND(OR(FAQs!$E21="both",Routes!$C$19="both",FAQs!$E21=Routes!$C$19),OR(Routes!$D$19="ALL",COUNTIF(Routes!$D$19:$G$19,FAQs!$C21)&gt;0,AND(FAQs!$D21&lt;&gt;"",COUNTIF(Routes!$D$19:$G$19,FAQs!$D21)&gt;0)))),"●","")</f>
        <v/>
      </c>
      <c r="U21" s="9" t="n">
        <f aca="false">COUNTIF(C21:T21,"●")</f>
        <v>6</v>
      </c>
    </row>
    <row r="22" customFormat="false" ht="15" hidden="false" customHeight="false" outlineLevel="0" collapsed="false">
      <c r="A22" s="9" t="str">
        <f aca="false">FAQs!A22</f>
        <v>F21</v>
      </c>
      <c r="B22" s="9" t="str">
        <f aca="false">FAQs!H22</f>
        <v>Can I connect my own streaming stick (e.g. Amazon Fire TV) to the TV?</v>
      </c>
      <c r="C22" s="12" t="str">
        <f aca="false">IF(OR(ISNUMBER(SEARCH(","&amp;C$1&amp;",",","&amp;SUBSTITUTE(FAQs!$G22," ","")&amp;",")),AND(OR(FAQs!$E22="both",Routes!$C$2="both",FAQs!$E22=Routes!$C$2),OR(Routes!$D$2="ALL",COUNTIF(Routes!$D$2:$G$2,FAQs!$C22)&gt;0,AND(FAQs!$D22&lt;&gt;"",COUNTIF(Routes!$D$2:$G$2,FAQs!$D22)&gt;0)))),"●","")</f>
        <v/>
      </c>
      <c r="D22" s="12" t="str">
        <f aca="false">IF(OR(ISNUMBER(SEARCH(","&amp;D$1&amp;",",","&amp;SUBSTITUTE(FAQs!$G22," ","")&amp;",")),AND(OR(FAQs!$E22="both",Routes!$C$3="both",FAQs!$E22=Routes!$C$3),OR(Routes!$D$3="ALL",COUNTIF(Routes!$D$3:$G$3,FAQs!$C22)&gt;0,AND(FAQs!$D22&lt;&gt;"",COUNTIF(Routes!$D$3:$G$3,FAQs!$D22)&gt;0)))),"●","")</f>
        <v>●</v>
      </c>
      <c r="E22" s="12" t="str">
        <f aca="false">IF(OR(ISNUMBER(SEARCH(","&amp;E$1&amp;",",","&amp;SUBSTITUTE(FAQs!$G22," ","")&amp;",")),AND(OR(FAQs!$E22="both",Routes!$C$4="both",FAQs!$E22=Routes!$C$4),OR(Routes!$D$4="ALL",COUNTIF(Routes!$D$4:$G$4,FAQs!$C22)&gt;0,AND(FAQs!$D22&lt;&gt;"",COUNTIF(Routes!$D$4:$G$4,FAQs!$D22)&gt;0)))),"●","")</f>
        <v>●</v>
      </c>
      <c r="F22" s="12" t="str">
        <f aca="false">IF(OR(ISNUMBER(SEARCH(","&amp;F$1&amp;",",","&amp;SUBSTITUTE(FAQs!$G22," ","")&amp;",")),AND(OR(FAQs!$E22="both",Routes!$C$5="both",FAQs!$E22=Routes!$C$5),OR(Routes!$D$5="ALL",COUNTIF(Routes!$D$5:$G$5,FAQs!$C22)&gt;0,AND(FAQs!$D22&lt;&gt;"",COUNTIF(Routes!$D$5:$G$5,FAQs!$D22)&gt;0)))),"●","")</f>
        <v/>
      </c>
      <c r="G22" s="12" t="str">
        <f aca="false">IF(OR(ISNUMBER(SEARCH(","&amp;G$1&amp;",",","&amp;SUBSTITUTE(FAQs!$G22," ","")&amp;",")),AND(OR(FAQs!$E22="both",Routes!$C$6="both",FAQs!$E22=Routes!$C$6),OR(Routes!$D$6="ALL",COUNTIF(Routes!$D$6:$G$6,FAQs!$C22)&gt;0,AND(FAQs!$D22&lt;&gt;"",COUNTIF(Routes!$D$6:$G$6,FAQs!$D22)&gt;0)))),"●","")</f>
        <v/>
      </c>
      <c r="H22" s="12" t="str">
        <f aca="false">IF(OR(ISNUMBER(SEARCH(","&amp;H$1&amp;",",","&amp;SUBSTITUTE(FAQs!$G22," ","")&amp;",")),AND(OR(FAQs!$E22="both",Routes!$C$7="both",FAQs!$E22=Routes!$C$7),OR(Routes!$D$7="ALL",COUNTIF(Routes!$D$7:$G$7,FAQs!$C22)&gt;0,AND(FAQs!$D22&lt;&gt;"",COUNTIF(Routes!$D$7:$G$7,FAQs!$D22)&gt;0)))),"●","")</f>
        <v/>
      </c>
      <c r="I22" s="12" t="str">
        <f aca="false">IF(OR(ISNUMBER(SEARCH(","&amp;I$1&amp;",",","&amp;SUBSTITUTE(FAQs!$G22," ","")&amp;",")),AND(OR(FAQs!$E22="both",Routes!$C$8="both",FAQs!$E22=Routes!$C$8),OR(Routes!$D$8="ALL",COUNTIF(Routes!$D$8:$G$8,FAQs!$C22)&gt;0,AND(FAQs!$D22&lt;&gt;"",COUNTIF(Routes!$D$8:$G$8,FAQs!$D22)&gt;0)))),"●","")</f>
        <v/>
      </c>
      <c r="J22" s="12" t="str">
        <f aca="false">IF(OR(ISNUMBER(SEARCH(","&amp;J$1&amp;",",","&amp;SUBSTITUTE(FAQs!$G22," ","")&amp;",")),AND(OR(FAQs!$E22="both",Routes!$C$9="both",FAQs!$E22=Routes!$C$9),OR(Routes!$D$9="ALL",COUNTIF(Routes!$D$9:$G$9,FAQs!$C22)&gt;0,AND(FAQs!$D22&lt;&gt;"",COUNTIF(Routes!$D$9:$G$9,FAQs!$D22)&gt;0)))),"●","")</f>
        <v/>
      </c>
      <c r="K22" s="12" t="str">
        <f aca="false">IF(OR(ISNUMBER(SEARCH(","&amp;K$1&amp;",",","&amp;SUBSTITUTE(FAQs!$G22," ","")&amp;",")),AND(OR(FAQs!$E22="both",Routes!$C$10="both",FAQs!$E22=Routes!$C$10),OR(Routes!$D$10="ALL",COUNTIF(Routes!$D$10:$G$10,FAQs!$C22)&gt;0,AND(FAQs!$D22&lt;&gt;"",COUNTIF(Routes!$D$10:$G$10,FAQs!$D22)&gt;0)))),"●","")</f>
        <v>●</v>
      </c>
      <c r="L22" s="12" t="str">
        <f aca="false">IF(OR(ISNUMBER(SEARCH(","&amp;L$1&amp;",",","&amp;SUBSTITUTE(FAQs!$G22," ","")&amp;",")),AND(OR(FAQs!$E22="both",Routes!$C$11="both",FAQs!$E22=Routes!$C$11),OR(Routes!$D$11="ALL",COUNTIF(Routes!$D$11:$G$11,FAQs!$C22)&gt;0,AND(FAQs!$D22&lt;&gt;"",COUNTIF(Routes!$D$11:$G$11,FAQs!$D22)&gt;0)))),"●","")</f>
        <v/>
      </c>
      <c r="M22" s="12" t="str">
        <f aca="false">IF(OR(ISNUMBER(SEARCH(","&amp;M$1&amp;",",","&amp;SUBSTITUTE(FAQs!$G22," ","")&amp;",")),AND(OR(FAQs!$E22="both",Routes!$C$12="both",FAQs!$E22=Routes!$C$12),OR(Routes!$D$12="ALL",COUNTIF(Routes!$D$12:$G$12,FAQs!$C22)&gt;0,AND(FAQs!$D22&lt;&gt;"",COUNTIF(Routes!$D$12:$G$12,FAQs!$D22)&gt;0)))),"●","")</f>
        <v/>
      </c>
      <c r="N22" s="12" t="str">
        <f aca="false">IF(OR(ISNUMBER(SEARCH(","&amp;N$1&amp;",",","&amp;SUBSTITUTE(FAQs!$G22," ","")&amp;",")),AND(OR(FAQs!$E22="both",Routes!$C$13="both",FAQs!$E22=Routes!$C$13),OR(Routes!$D$13="ALL",COUNTIF(Routes!$D$13:$G$13,FAQs!$C22)&gt;0,AND(FAQs!$D22&lt;&gt;"",COUNTIF(Routes!$D$13:$G$13,FAQs!$D22)&gt;0)))),"●","")</f>
        <v/>
      </c>
      <c r="O22" s="12" t="str">
        <f aca="false">IF(OR(ISNUMBER(SEARCH(","&amp;O$1&amp;",",","&amp;SUBSTITUTE(FAQs!$G22," ","")&amp;",")),AND(OR(FAQs!$E22="both",Routes!$C$14="both",FAQs!$E22=Routes!$C$14),OR(Routes!$D$14="ALL",COUNTIF(Routes!$D$14:$G$14,FAQs!$C22)&gt;0,AND(FAQs!$D22&lt;&gt;"",COUNTIF(Routes!$D$14:$G$14,FAQs!$D22)&gt;0)))),"●","")</f>
        <v>●</v>
      </c>
      <c r="P22" s="12" t="str">
        <f aca="false">IF(OR(ISNUMBER(SEARCH(","&amp;P$1&amp;",",","&amp;SUBSTITUTE(FAQs!$G22," ","")&amp;",")),AND(OR(FAQs!$E22="both",Routes!$C$15="both",FAQs!$E22=Routes!$C$15),OR(Routes!$D$15="ALL",COUNTIF(Routes!$D$15:$G$15,FAQs!$C22)&gt;0,AND(FAQs!$D22&lt;&gt;"",COUNTIF(Routes!$D$15:$G$15,FAQs!$D22)&gt;0)))),"●","")</f>
        <v/>
      </c>
      <c r="Q22" s="12" t="str">
        <f aca="false">IF(OR(ISNUMBER(SEARCH(","&amp;Q$1&amp;",",","&amp;SUBSTITUTE(FAQs!$G22," ","")&amp;",")),AND(OR(FAQs!$E22="both",Routes!$C$16="both",FAQs!$E22=Routes!$C$16),OR(Routes!$D$16="ALL",COUNTIF(Routes!$D$16:$G$16,FAQs!$C22)&gt;0,AND(FAQs!$D22&lt;&gt;"",COUNTIF(Routes!$D$16:$G$16,FAQs!$D22)&gt;0)))),"●","")</f>
        <v/>
      </c>
      <c r="R22" s="12" t="str">
        <f aca="false">IF(OR(ISNUMBER(SEARCH(","&amp;R$1&amp;",",","&amp;SUBSTITUTE(FAQs!$G22," ","")&amp;",")),AND(OR(FAQs!$E22="both",Routes!$C$17="both",FAQs!$E22=Routes!$C$17),OR(Routes!$D$17="ALL",COUNTIF(Routes!$D$17:$G$17,FAQs!$C22)&gt;0,AND(FAQs!$D22&lt;&gt;"",COUNTIF(Routes!$D$17:$G$17,FAQs!$D22)&gt;0)))),"●","")</f>
        <v/>
      </c>
      <c r="S22" s="12" t="str">
        <f aca="false">IF(OR(ISNUMBER(SEARCH(","&amp;S$1&amp;",",","&amp;SUBSTITUTE(FAQs!$G22," ","")&amp;",")),AND(OR(FAQs!$E22="both",Routes!$C$18="both",FAQs!$E22=Routes!$C$18),OR(Routes!$D$18="ALL",COUNTIF(Routes!$D$18:$G$18,FAQs!$C22)&gt;0,AND(FAQs!$D22&lt;&gt;"",COUNTIF(Routes!$D$18:$G$18,FAQs!$D22)&gt;0)))),"●","")</f>
        <v/>
      </c>
      <c r="T22" s="12" t="str">
        <f aca="false">IF(OR(ISNUMBER(SEARCH(","&amp;T$1&amp;",",","&amp;SUBSTITUTE(FAQs!$G22," ","")&amp;",")),AND(OR(FAQs!$E22="both",Routes!$C$19="both",FAQs!$E22=Routes!$C$19),OR(Routes!$D$19="ALL",COUNTIF(Routes!$D$19:$G$19,FAQs!$C22)&gt;0,AND(FAQs!$D22&lt;&gt;"",COUNTIF(Routes!$D$19:$G$19,FAQs!$D22)&gt;0)))),"●","")</f>
        <v/>
      </c>
      <c r="U22" s="9" t="n">
        <f aca="false">COUNTIF(C22:T22,"●")</f>
        <v>4</v>
      </c>
    </row>
    <row r="23" customFormat="false" ht="15" hidden="false" customHeight="false" outlineLevel="0" collapsed="false">
      <c r="A23" s="9" t="str">
        <f aca="false">FAQs!A23</f>
        <v>F22</v>
      </c>
      <c r="B23" s="9" t="str">
        <f aca="false">FAQs!H23</f>
        <v>Where can I get a power adapter?</v>
      </c>
      <c r="C23" s="12" t="str">
        <f aca="false">IF(OR(ISNUMBER(SEARCH(","&amp;C$1&amp;",",","&amp;SUBSTITUTE(FAQs!$G23," ","")&amp;",")),AND(OR(FAQs!$E23="both",Routes!$C$2="both",FAQs!$E23=Routes!$C$2),OR(Routes!$D$2="ALL",COUNTIF(Routes!$D$2:$G$2,FAQs!$C23)&gt;0,AND(FAQs!$D23&lt;&gt;"",COUNTIF(Routes!$D$2:$G$2,FAQs!$D23)&gt;0)))),"●","")</f>
        <v/>
      </c>
      <c r="D23" s="12" t="str">
        <f aca="false">IF(OR(ISNUMBER(SEARCH(","&amp;D$1&amp;",",","&amp;SUBSTITUTE(FAQs!$G23," ","")&amp;",")),AND(OR(FAQs!$E23="both",Routes!$C$3="both",FAQs!$E23=Routes!$C$3),OR(Routes!$D$3="ALL",COUNTIF(Routes!$D$3:$G$3,FAQs!$C23)&gt;0,AND(FAQs!$D23&lt;&gt;"",COUNTIF(Routes!$D$3:$G$3,FAQs!$D23)&gt;0)))),"●","")</f>
        <v/>
      </c>
      <c r="E23" s="12" t="str">
        <f aca="false">IF(OR(ISNUMBER(SEARCH(","&amp;E$1&amp;",",","&amp;SUBSTITUTE(FAQs!$G23," ","")&amp;",")),AND(OR(FAQs!$E23="both",Routes!$C$4="both",FAQs!$E23=Routes!$C$4),OR(Routes!$D$4="ALL",COUNTIF(Routes!$D$4:$G$4,FAQs!$C23)&gt;0,AND(FAQs!$D23&lt;&gt;"",COUNTIF(Routes!$D$4:$G$4,FAQs!$D23)&gt;0)))),"●","")</f>
        <v/>
      </c>
      <c r="F23" s="12" t="str">
        <f aca="false">IF(OR(ISNUMBER(SEARCH(","&amp;F$1&amp;",",","&amp;SUBSTITUTE(FAQs!$G23," ","")&amp;",")),AND(OR(FAQs!$E23="both",Routes!$C$5="both",FAQs!$E23=Routes!$C$5),OR(Routes!$D$5="ALL",COUNTIF(Routes!$D$5:$G$5,FAQs!$C23)&gt;0,AND(FAQs!$D23&lt;&gt;"",COUNTIF(Routes!$D$5:$G$5,FAQs!$D23)&gt;0)))),"●","")</f>
        <v/>
      </c>
      <c r="G23" s="12" t="str">
        <f aca="false">IF(OR(ISNUMBER(SEARCH(","&amp;G$1&amp;",",","&amp;SUBSTITUTE(FAQs!$G23," ","")&amp;",")),AND(OR(FAQs!$E23="both",Routes!$C$6="both",FAQs!$E23=Routes!$C$6),OR(Routes!$D$6="ALL",COUNTIF(Routes!$D$6:$G$6,FAQs!$C23)&gt;0,AND(FAQs!$D23&lt;&gt;"",COUNTIF(Routes!$D$6:$G$6,FAQs!$D23)&gt;0)))),"●","")</f>
        <v/>
      </c>
      <c r="H23" s="12" t="str">
        <f aca="false">IF(OR(ISNUMBER(SEARCH(","&amp;H$1&amp;",",","&amp;SUBSTITUTE(FAQs!$G23," ","")&amp;",")),AND(OR(FAQs!$E23="both",Routes!$C$7="both",FAQs!$E23=Routes!$C$7),OR(Routes!$D$7="ALL",COUNTIF(Routes!$D$7:$G$7,FAQs!$C23)&gt;0,AND(FAQs!$D23&lt;&gt;"",COUNTIF(Routes!$D$7:$G$7,FAQs!$D23)&gt;0)))),"●","")</f>
        <v/>
      </c>
      <c r="I23" s="12" t="str">
        <f aca="false">IF(OR(ISNUMBER(SEARCH(","&amp;I$1&amp;",",","&amp;SUBSTITUTE(FAQs!$G23," ","")&amp;",")),AND(OR(FAQs!$E23="both",Routes!$C$8="both",FAQs!$E23=Routes!$C$8),OR(Routes!$D$8="ALL",COUNTIF(Routes!$D$8:$G$8,FAQs!$C23)&gt;0,AND(FAQs!$D23&lt;&gt;"",COUNTIF(Routes!$D$8:$G$8,FAQs!$D23)&gt;0)))),"●","")</f>
        <v/>
      </c>
      <c r="J23" s="12" t="str">
        <f aca="false">IF(OR(ISNUMBER(SEARCH(","&amp;J$1&amp;",",","&amp;SUBSTITUTE(FAQs!$G23," ","")&amp;",")),AND(OR(FAQs!$E23="both",Routes!$C$9="both",FAQs!$E23=Routes!$C$9),OR(Routes!$D$9="ALL",COUNTIF(Routes!$D$9:$G$9,FAQs!$C23)&gt;0,AND(FAQs!$D23&lt;&gt;"",COUNTIF(Routes!$D$9:$G$9,FAQs!$D23)&gt;0)))),"●","")</f>
        <v/>
      </c>
      <c r="K23" s="12" t="str">
        <f aca="false">IF(OR(ISNUMBER(SEARCH(","&amp;K$1&amp;",",","&amp;SUBSTITUTE(FAQs!$G23," ","")&amp;",")),AND(OR(FAQs!$E23="both",Routes!$C$10="both",FAQs!$E23=Routes!$C$10),OR(Routes!$D$10="ALL",COUNTIF(Routes!$D$10:$G$10,FAQs!$C23)&gt;0,AND(FAQs!$D23&lt;&gt;"",COUNTIF(Routes!$D$10:$G$10,FAQs!$D23)&gt;0)))),"●","")</f>
        <v/>
      </c>
      <c r="L23" s="12" t="str">
        <f aca="false">IF(OR(ISNUMBER(SEARCH(","&amp;L$1&amp;",",","&amp;SUBSTITUTE(FAQs!$G23," ","")&amp;",")),AND(OR(FAQs!$E23="both",Routes!$C$11="both",FAQs!$E23=Routes!$C$11),OR(Routes!$D$11="ALL",COUNTIF(Routes!$D$11:$G$11,FAQs!$C23)&gt;0,AND(FAQs!$D23&lt;&gt;"",COUNTIF(Routes!$D$11:$G$11,FAQs!$D23)&gt;0)))),"●","")</f>
        <v>●</v>
      </c>
      <c r="M23" s="12" t="str">
        <f aca="false">IF(OR(ISNUMBER(SEARCH(","&amp;M$1&amp;",",","&amp;SUBSTITUTE(FAQs!$G23," ","")&amp;",")),AND(OR(FAQs!$E23="both",Routes!$C$12="both",FAQs!$E23=Routes!$C$12),OR(Routes!$D$12="ALL",COUNTIF(Routes!$D$12:$G$12,FAQs!$C23)&gt;0,AND(FAQs!$D23&lt;&gt;"",COUNTIF(Routes!$D$12:$G$12,FAQs!$D23)&gt;0)))),"●","")</f>
        <v/>
      </c>
      <c r="N23" s="12" t="str">
        <f aca="false">IF(OR(ISNUMBER(SEARCH(","&amp;N$1&amp;",",","&amp;SUBSTITUTE(FAQs!$G23," ","")&amp;",")),AND(OR(FAQs!$E23="both",Routes!$C$13="both",FAQs!$E23=Routes!$C$13),OR(Routes!$D$13="ALL",COUNTIF(Routes!$D$13:$G$13,FAQs!$C23)&gt;0,AND(FAQs!$D23&lt;&gt;"",COUNTIF(Routes!$D$13:$G$13,FAQs!$D23)&gt;0)))),"●","")</f>
        <v/>
      </c>
      <c r="O23" s="12" t="str">
        <f aca="false">IF(OR(ISNUMBER(SEARCH(","&amp;O$1&amp;",",","&amp;SUBSTITUTE(FAQs!$G23," ","")&amp;",")),AND(OR(FAQs!$E23="both",Routes!$C$14="both",FAQs!$E23=Routes!$C$14),OR(Routes!$D$14="ALL",COUNTIF(Routes!$D$14:$G$14,FAQs!$C23)&gt;0,AND(FAQs!$D23&lt;&gt;"",COUNTIF(Routes!$D$14:$G$14,FAQs!$D23)&gt;0)))),"●","")</f>
        <v>●</v>
      </c>
      <c r="P23" s="12" t="str">
        <f aca="false">IF(OR(ISNUMBER(SEARCH(","&amp;P$1&amp;",",","&amp;SUBSTITUTE(FAQs!$G23," ","")&amp;",")),AND(OR(FAQs!$E23="both",Routes!$C$15="both",FAQs!$E23=Routes!$C$15),OR(Routes!$D$15="ALL",COUNTIF(Routes!$D$15:$G$15,FAQs!$C23)&gt;0,AND(FAQs!$D23&lt;&gt;"",COUNTIF(Routes!$D$15:$G$15,FAQs!$D23)&gt;0)))),"●","")</f>
        <v/>
      </c>
      <c r="Q23" s="12" t="str">
        <f aca="false">IF(OR(ISNUMBER(SEARCH(","&amp;Q$1&amp;",",","&amp;SUBSTITUTE(FAQs!$G23," ","")&amp;",")),AND(OR(FAQs!$E23="both",Routes!$C$16="both",FAQs!$E23=Routes!$C$16),OR(Routes!$D$16="ALL",COUNTIF(Routes!$D$16:$G$16,FAQs!$C23)&gt;0,AND(FAQs!$D23&lt;&gt;"",COUNTIF(Routes!$D$16:$G$16,FAQs!$D23)&gt;0)))),"●","")</f>
        <v/>
      </c>
      <c r="R23" s="12" t="str">
        <f aca="false">IF(OR(ISNUMBER(SEARCH(","&amp;R$1&amp;",",","&amp;SUBSTITUTE(FAQs!$G23," ","")&amp;",")),AND(OR(FAQs!$E23="both",Routes!$C$17="both",FAQs!$E23=Routes!$C$17),OR(Routes!$D$17="ALL",COUNTIF(Routes!$D$17:$G$17,FAQs!$C23)&gt;0,AND(FAQs!$D23&lt;&gt;"",COUNTIF(Routes!$D$17:$G$17,FAQs!$D23)&gt;0)))),"●","")</f>
        <v/>
      </c>
      <c r="S23" s="12" t="str">
        <f aca="false">IF(OR(ISNUMBER(SEARCH(","&amp;S$1&amp;",",","&amp;SUBSTITUTE(FAQs!$G23," ","")&amp;",")),AND(OR(FAQs!$E23="both",Routes!$C$18="both",FAQs!$E23=Routes!$C$18),OR(Routes!$D$18="ALL",COUNTIF(Routes!$D$18:$G$18,FAQs!$C23)&gt;0,AND(FAQs!$D23&lt;&gt;"",COUNTIF(Routes!$D$18:$G$18,FAQs!$D23)&gt;0)))),"●","")</f>
        <v/>
      </c>
      <c r="T23" s="12" t="str">
        <f aca="false">IF(OR(ISNUMBER(SEARCH(","&amp;T$1&amp;",",","&amp;SUBSTITUTE(FAQs!$G23," ","")&amp;",")),AND(OR(FAQs!$E23="both",Routes!$C$19="both",FAQs!$E23=Routes!$C$19),OR(Routes!$D$19="ALL",COUNTIF(Routes!$D$19:$G$19,FAQs!$C23)&gt;0,AND(FAQs!$D23&lt;&gt;"",COUNTIF(Routes!$D$19:$G$19,FAQs!$D23)&gt;0)))),"●","")</f>
        <v/>
      </c>
      <c r="U23" s="9" t="n">
        <f aca="false">COUNTIF(C23:T23,"●")</f>
        <v>2</v>
      </c>
    </row>
    <row r="24" customFormat="false" ht="15" hidden="false" customHeight="false" outlineLevel="0" collapsed="false">
      <c r="A24" s="9" t="str">
        <f aca="false">FAQs!A24</f>
        <v>F23</v>
      </c>
      <c r="B24" s="9" t="str">
        <f aca="false">FAQs!H24</f>
        <v>Can I borrow an iron or an ironing board?</v>
      </c>
      <c r="C24" s="12" t="str">
        <f aca="false">IF(OR(ISNUMBER(SEARCH(","&amp;C$1&amp;",",","&amp;SUBSTITUTE(FAQs!$G24," ","")&amp;",")),AND(OR(FAQs!$E24="both",Routes!$C$2="both",FAQs!$E24=Routes!$C$2),OR(Routes!$D$2="ALL",COUNTIF(Routes!$D$2:$G$2,FAQs!$C24)&gt;0,AND(FAQs!$D24&lt;&gt;"",COUNTIF(Routes!$D$2:$G$2,FAQs!$D24)&gt;0)))),"●","")</f>
        <v/>
      </c>
      <c r="D24" s="12" t="str">
        <f aca="false">IF(OR(ISNUMBER(SEARCH(","&amp;D$1&amp;",",","&amp;SUBSTITUTE(FAQs!$G24," ","")&amp;",")),AND(OR(FAQs!$E24="both",Routes!$C$3="both",FAQs!$E24=Routes!$C$3),OR(Routes!$D$3="ALL",COUNTIF(Routes!$D$3:$G$3,FAQs!$C24)&gt;0,AND(FAQs!$D24&lt;&gt;"",COUNTIF(Routes!$D$3:$G$3,FAQs!$D24)&gt;0)))),"●","")</f>
        <v/>
      </c>
      <c r="E24" s="12" t="str">
        <f aca="false">IF(OR(ISNUMBER(SEARCH(","&amp;E$1&amp;",",","&amp;SUBSTITUTE(FAQs!$G24," ","")&amp;",")),AND(OR(FAQs!$E24="both",Routes!$C$4="both",FAQs!$E24=Routes!$C$4),OR(Routes!$D$4="ALL",COUNTIF(Routes!$D$4:$G$4,FAQs!$C24)&gt;0,AND(FAQs!$D24&lt;&gt;"",COUNTIF(Routes!$D$4:$G$4,FAQs!$D24)&gt;0)))),"●","")</f>
        <v/>
      </c>
      <c r="F24" s="12" t="str">
        <f aca="false">IF(OR(ISNUMBER(SEARCH(","&amp;F$1&amp;",",","&amp;SUBSTITUTE(FAQs!$G24," ","")&amp;",")),AND(OR(FAQs!$E24="both",Routes!$C$5="both",FAQs!$E24=Routes!$C$5),OR(Routes!$D$5="ALL",COUNTIF(Routes!$D$5:$G$5,FAQs!$C24)&gt;0,AND(FAQs!$D24&lt;&gt;"",COUNTIF(Routes!$D$5:$G$5,FAQs!$D24)&gt;0)))),"●","")</f>
        <v/>
      </c>
      <c r="G24" s="12" t="str">
        <f aca="false">IF(OR(ISNUMBER(SEARCH(","&amp;G$1&amp;",",","&amp;SUBSTITUTE(FAQs!$G24," ","")&amp;",")),AND(OR(FAQs!$E24="both",Routes!$C$6="both",FAQs!$E24=Routes!$C$6),OR(Routes!$D$6="ALL",COUNTIF(Routes!$D$6:$G$6,FAQs!$C24)&gt;0,AND(FAQs!$D24&lt;&gt;"",COUNTIF(Routes!$D$6:$G$6,FAQs!$D24)&gt;0)))),"●","")</f>
        <v/>
      </c>
      <c r="H24" s="12" t="str">
        <f aca="false">IF(OR(ISNUMBER(SEARCH(","&amp;H$1&amp;",",","&amp;SUBSTITUTE(FAQs!$G24," ","")&amp;",")),AND(OR(FAQs!$E24="both",Routes!$C$7="both",FAQs!$E24=Routes!$C$7),OR(Routes!$D$7="ALL",COUNTIF(Routes!$D$7:$G$7,FAQs!$C24)&gt;0,AND(FAQs!$D24&lt;&gt;"",COUNTIF(Routes!$D$7:$G$7,FAQs!$D24)&gt;0)))),"●","")</f>
        <v/>
      </c>
      <c r="I24" s="12" t="str">
        <f aca="false">IF(OR(ISNUMBER(SEARCH(","&amp;I$1&amp;",",","&amp;SUBSTITUTE(FAQs!$G24," ","")&amp;",")),AND(OR(FAQs!$E24="both",Routes!$C$8="both",FAQs!$E24=Routes!$C$8),OR(Routes!$D$8="ALL",COUNTIF(Routes!$D$8:$G$8,FAQs!$C24)&gt;0,AND(FAQs!$D24&lt;&gt;"",COUNTIF(Routes!$D$8:$G$8,FAQs!$D24)&gt;0)))),"●","")</f>
        <v/>
      </c>
      <c r="J24" s="12" t="str">
        <f aca="false">IF(OR(ISNUMBER(SEARCH(","&amp;J$1&amp;",",","&amp;SUBSTITUTE(FAQs!$G24," ","")&amp;",")),AND(OR(FAQs!$E24="both",Routes!$C$9="both",FAQs!$E24=Routes!$C$9),OR(Routes!$D$9="ALL",COUNTIF(Routes!$D$9:$G$9,FAQs!$C24)&gt;0,AND(FAQs!$D24&lt;&gt;"",COUNTIF(Routes!$D$9:$G$9,FAQs!$D24)&gt;0)))),"●","")</f>
        <v/>
      </c>
      <c r="K24" s="12" t="str">
        <f aca="false">IF(OR(ISNUMBER(SEARCH(","&amp;K$1&amp;",",","&amp;SUBSTITUTE(FAQs!$G24," ","")&amp;",")),AND(OR(FAQs!$E24="both",Routes!$C$10="both",FAQs!$E24=Routes!$C$10),OR(Routes!$D$10="ALL",COUNTIF(Routes!$D$10:$G$10,FAQs!$C24)&gt;0,AND(FAQs!$D24&lt;&gt;"",COUNTIF(Routes!$D$10:$G$10,FAQs!$D24)&gt;0)))),"●","")</f>
        <v/>
      </c>
      <c r="L24" s="12" t="str">
        <f aca="false">IF(OR(ISNUMBER(SEARCH(","&amp;L$1&amp;",",","&amp;SUBSTITUTE(FAQs!$G24," ","")&amp;",")),AND(OR(FAQs!$E24="both",Routes!$C$11="both",FAQs!$E24=Routes!$C$11),OR(Routes!$D$11="ALL",COUNTIF(Routes!$D$11:$G$11,FAQs!$C24)&gt;0,AND(FAQs!$D24&lt;&gt;"",COUNTIF(Routes!$D$11:$G$11,FAQs!$D24)&gt;0)))),"●","")</f>
        <v>●</v>
      </c>
      <c r="M24" s="12" t="str">
        <f aca="false">IF(OR(ISNUMBER(SEARCH(","&amp;M$1&amp;",",","&amp;SUBSTITUTE(FAQs!$G24," ","")&amp;",")),AND(OR(FAQs!$E24="both",Routes!$C$12="both",FAQs!$E24=Routes!$C$12),OR(Routes!$D$12="ALL",COUNTIF(Routes!$D$12:$G$12,FAQs!$C24)&gt;0,AND(FAQs!$D24&lt;&gt;"",COUNTIF(Routes!$D$12:$G$12,FAQs!$D24)&gt;0)))),"●","")</f>
        <v/>
      </c>
      <c r="N24" s="12" t="str">
        <f aca="false">IF(OR(ISNUMBER(SEARCH(","&amp;N$1&amp;",",","&amp;SUBSTITUTE(FAQs!$G24," ","")&amp;",")),AND(OR(FAQs!$E24="both",Routes!$C$13="both",FAQs!$E24=Routes!$C$13),OR(Routes!$D$13="ALL",COUNTIF(Routes!$D$13:$G$13,FAQs!$C24)&gt;0,AND(FAQs!$D24&lt;&gt;"",COUNTIF(Routes!$D$13:$G$13,FAQs!$D24)&gt;0)))),"●","")</f>
        <v/>
      </c>
      <c r="O24" s="12" t="str">
        <f aca="false">IF(OR(ISNUMBER(SEARCH(","&amp;O$1&amp;",",","&amp;SUBSTITUTE(FAQs!$G24," ","")&amp;",")),AND(OR(FAQs!$E24="both",Routes!$C$14="both",FAQs!$E24=Routes!$C$14),OR(Routes!$D$14="ALL",COUNTIF(Routes!$D$14:$G$14,FAQs!$C24)&gt;0,AND(FAQs!$D24&lt;&gt;"",COUNTIF(Routes!$D$14:$G$14,FAQs!$D24)&gt;0)))),"●","")</f>
        <v>●</v>
      </c>
      <c r="P24" s="12" t="str">
        <f aca="false">IF(OR(ISNUMBER(SEARCH(","&amp;P$1&amp;",",","&amp;SUBSTITUTE(FAQs!$G24," ","")&amp;",")),AND(OR(FAQs!$E24="both",Routes!$C$15="both",FAQs!$E24=Routes!$C$15),OR(Routes!$D$15="ALL",COUNTIF(Routes!$D$15:$G$15,FAQs!$C24)&gt;0,AND(FAQs!$D24&lt;&gt;"",COUNTIF(Routes!$D$15:$G$15,FAQs!$D24)&gt;0)))),"●","")</f>
        <v/>
      </c>
      <c r="Q24" s="12" t="str">
        <f aca="false">IF(OR(ISNUMBER(SEARCH(","&amp;Q$1&amp;",",","&amp;SUBSTITUTE(FAQs!$G24," ","")&amp;",")),AND(OR(FAQs!$E24="both",Routes!$C$16="both",FAQs!$E24=Routes!$C$16),OR(Routes!$D$16="ALL",COUNTIF(Routes!$D$16:$G$16,FAQs!$C24)&gt;0,AND(FAQs!$D24&lt;&gt;"",COUNTIF(Routes!$D$16:$G$16,FAQs!$D24)&gt;0)))),"●","")</f>
        <v/>
      </c>
      <c r="R24" s="12" t="str">
        <f aca="false">IF(OR(ISNUMBER(SEARCH(","&amp;R$1&amp;",",","&amp;SUBSTITUTE(FAQs!$G24," ","")&amp;",")),AND(OR(FAQs!$E24="both",Routes!$C$17="both",FAQs!$E24=Routes!$C$17),OR(Routes!$D$17="ALL",COUNTIF(Routes!$D$17:$G$17,FAQs!$C24)&gt;0,AND(FAQs!$D24&lt;&gt;"",COUNTIF(Routes!$D$17:$G$17,FAQs!$D24)&gt;0)))),"●","")</f>
        <v/>
      </c>
      <c r="S24" s="12" t="str">
        <f aca="false">IF(OR(ISNUMBER(SEARCH(","&amp;S$1&amp;",",","&amp;SUBSTITUTE(FAQs!$G24," ","")&amp;",")),AND(OR(FAQs!$E24="both",Routes!$C$18="both",FAQs!$E24=Routes!$C$18),OR(Routes!$D$18="ALL",COUNTIF(Routes!$D$18:$G$18,FAQs!$C24)&gt;0,AND(FAQs!$D24&lt;&gt;"",COUNTIF(Routes!$D$18:$G$18,FAQs!$D24)&gt;0)))),"●","")</f>
        <v/>
      </c>
      <c r="T24" s="12" t="str">
        <f aca="false">IF(OR(ISNUMBER(SEARCH(","&amp;T$1&amp;",",","&amp;SUBSTITUTE(FAQs!$G24," ","")&amp;",")),AND(OR(FAQs!$E24="both",Routes!$C$19="both",FAQs!$E24=Routes!$C$19),OR(Routes!$D$19="ALL",COUNTIF(Routes!$D$19:$G$19,FAQs!$C24)&gt;0,AND(FAQs!$D24&lt;&gt;"",COUNTIF(Routes!$D$19:$G$19,FAQs!$D24)&gt;0)))),"●","")</f>
        <v/>
      </c>
      <c r="U24" s="9" t="n">
        <f aca="false">COUNTIF(C24:T24,"●")</f>
        <v>2</v>
      </c>
    </row>
    <row r="25" customFormat="false" ht="15" hidden="false" customHeight="false" outlineLevel="0" collapsed="false">
      <c r="A25" s="9" t="str">
        <f aca="false">FAQs!A25</f>
        <v>F24</v>
      </c>
      <c r="B25" s="9" t="str">
        <f aca="false">FAQs!H25</f>
        <v>Do you offer a laundry service?</v>
      </c>
      <c r="C25" s="12" t="str">
        <f aca="false">IF(OR(ISNUMBER(SEARCH(","&amp;C$1&amp;",",","&amp;SUBSTITUTE(FAQs!$G25," ","")&amp;",")),AND(OR(FAQs!$E25="both",Routes!$C$2="both",FAQs!$E25=Routes!$C$2),OR(Routes!$D$2="ALL",COUNTIF(Routes!$D$2:$G$2,FAQs!$C25)&gt;0,AND(FAQs!$D25&lt;&gt;"",COUNTIF(Routes!$D$2:$G$2,FAQs!$D25)&gt;0)))),"●","")</f>
        <v/>
      </c>
      <c r="D25" s="12" t="str">
        <f aca="false">IF(OR(ISNUMBER(SEARCH(","&amp;D$1&amp;",",","&amp;SUBSTITUTE(FAQs!$G25," ","")&amp;",")),AND(OR(FAQs!$E25="both",Routes!$C$3="both",FAQs!$E25=Routes!$C$3),OR(Routes!$D$3="ALL",COUNTIF(Routes!$D$3:$G$3,FAQs!$C25)&gt;0,AND(FAQs!$D25&lt;&gt;"",COUNTIF(Routes!$D$3:$G$3,FAQs!$D25)&gt;0)))),"●","")</f>
        <v/>
      </c>
      <c r="E25" s="12" t="str">
        <f aca="false">IF(OR(ISNUMBER(SEARCH(","&amp;E$1&amp;",",","&amp;SUBSTITUTE(FAQs!$G25," ","")&amp;",")),AND(OR(FAQs!$E25="both",Routes!$C$4="both",FAQs!$E25=Routes!$C$4),OR(Routes!$D$4="ALL",COUNTIF(Routes!$D$4:$G$4,FAQs!$C25)&gt;0,AND(FAQs!$D25&lt;&gt;"",COUNTIF(Routes!$D$4:$G$4,FAQs!$D25)&gt;0)))),"●","")</f>
        <v/>
      </c>
      <c r="F25" s="12" t="str">
        <f aca="false">IF(OR(ISNUMBER(SEARCH(","&amp;F$1&amp;",",","&amp;SUBSTITUTE(FAQs!$G25," ","")&amp;",")),AND(OR(FAQs!$E25="both",Routes!$C$5="both",FAQs!$E25=Routes!$C$5),OR(Routes!$D$5="ALL",COUNTIF(Routes!$D$5:$G$5,FAQs!$C25)&gt;0,AND(FAQs!$D25&lt;&gt;"",COUNTIF(Routes!$D$5:$G$5,FAQs!$D25)&gt;0)))),"●","")</f>
        <v/>
      </c>
      <c r="G25" s="12" t="str">
        <f aca="false">IF(OR(ISNUMBER(SEARCH(","&amp;G$1&amp;",",","&amp;SUBSTITUTE(FAQs!$G25," ","")&amp;",")),AND(OR(FAQs!$E25="both",Routes!$C$6="both",FAQs!$E25=Routes!$C$6),OR(Routes!$D$6="ALL",COUNTIF(Routes!$D$6:$G$6,FAQs!$C25)&gt;0,AND(FAQs!$D25&lt;&gt;"",COUNTIF(Routes!$D$6:$G$6,FAQs!$D25)&gt;0)))),"●","")</f>
        <v>●</v>
      </c>
      <c r="H25" s="12" t="str">
        <f aca="false">IF(OR(ISNUMBER(SEARCH(","&amp;H$1&amp;",",","&amp;SUBSTITUTE(FAQs!$G25," ","")&amp;",")),AND(OR(FAQs!$E25="both",Routes!$C$7="both",FAQs!$E25=Routes!$C$7),OR(Routes!$D$7="ALL",COUNTIF(Routes!$D$7:$G$7,FAQs!$C25)&gt;0,AND(FAQs!$D25&lt;&gt;"",COUNTIF(Routes!$D$7:$G$7,FAQs!$D25)&gt;0)))),"●","")</f>
        <v/>
      </c>
      <c r="I25" s="12" t="str">
        <f aca="false">IF(OR(ISNUMBER(SEARCH(","&amp;I$1&amp;",",","&amp;SUBSTITUTE(FAQs!$G25," ","")&amp;",")),AND(OR(FAQs!$E25="both",Routes!$C$8="both",FAQs!$E25=Routes!$C$8),OR(Routes!$D$8="ALL",COUNTIF(Routes!$D$8:$G$8,FAQs!$C25)&gt;0,AND(FAQs!$D25&lt;&gt;"",COUNTIF(Routes!$D$8:$G$8,FAQs!$D25)&gt;0)))),"●","")</f>
        <v/>
      </c>
      <c r="J25" s="12" t="str">
        <f aca="false">IF(OR(ISNUMBER(SEARCH(","&amp;J$1&amp;",",","&amp;SUBSTITUTE(FAQs!$G25," ","")&amp;",")),AND(OR(FAQs!$E25="both",Routes!$C$9="both",FAQs!$E25=Routes!$C$9),OR(Routes!$D$9="ALL",COUNTIF(Routes!$D$9:$G$9,FAQs!$C25)&gt;0,AND(FAQs!$D25&lt;&gt;"",COUNTIF(Routes!$D$9:$G$9,FAQs!$D25)&gt;0)))),"●","")</f>
        <v/>
      </c>
      <c r="K25" s="12" t="str">
        <f aca="false">IF(OR(ISNUMBER(SEARCH(","&amp;K$1&amp;",",","&amp;SUBSTITUTE(FAQs!$G25," ","")&amp;",")),AND(OR(FAQs!$E25="both",Routes!$C$10="both",FAQs!$E25=Routes!$C$10),OR(Routes!$D$10="ALL",COUNTIF(Routes!$D$10:$G$10,FAQs!$C25)&gt;0,AND(FAQs!$D25&lt;&gt;"",COUNTIF(Routes!$D$10:$G$10,FAQs!$D25)&gt;0)))),"●","")</f>
        <v>●</v>
      </c>
      <c r="L25" s="12" t="str">
        <f aca="false">IF(OR(ISNUMBER(SEARCH(","&amp;L$1&amp;",",","&amp;SUBSTITUTE(FAQs!$G25," ","")&amp;",")),AND(OR(FAQs!$E25="both",Routes!$C$11="both",FAQs!$E25=Routes!$C$11),OR(Routes!$D$11="ALL",COUNTIF(Routes!$D$11:$G$11,FAQs!$C25)&gt;0,AND(FAQs!$D25&lt;&gt;"",COUNTIF(Routes!$D$11:$G$11,FAQs!$D25)&gt;0)))),"●","")</f>
        <v>●</v>
      </c>
      <c r="M25" s="12" t="str">
        <f aca="false">IF(OR(ISNUMBER(SEARCH(","&amp;M$1&amp;",",","&amp;SUBSTITUTE(FAQs!$G25," ","")&amp;",")),AND(OR(FAQs!$E25="both",Routes!$C$12="both",FAQs!$E25=Routes!$C$12),OR(Routes!$D$12="ALL",COUNTIF(Routes!$D$12:$G$12,FAQs!$C25)&gt;0,AND(FAQs!$D25&lt;&gt;"",COUNTIF(Routes!$D$12:$G$12,FAQs!$D25)&gt;0)))),"●","")</f>
        <v/>
      </c>
      <c r="N25" s="12" t="str">
        <f aca="false">IF(OR(ISNUMBER(SEARCH(","&amp;N$1&amp;",",","&amp;SUBSTITUTE(FAQs!$G25," ","")&amp;",")),AND(OR(FAQs!$E25="both",Routes!$C$13="both",FAQs!$E25=Routes!$C$13),OR(Routes!$D$13="ALL",COUNTIF(Routes!$D$13:$G$13,FAQs!$C25)&gt;0,AND(FAQs!$D25&lt;&gt;"",COUNTIF(Routes!$D$13:$G$13,FAQs!$D25)&gt;0)))),"●","")</f>
        <v/>
      </c>
      <c r="O25" s="12" t="str">
        <f aca="false">IF(OR(ISNUMBER(SEARCH(","&amp;O$1&amp;",",","&amp;SUBSTITUTE(FAQs!$G25," ","")&amp;",")),AND(OR(FAQs!$E25="both",Routes!$C$14="both",FAQs!$E25=Routes!$C$14),OR(Routes!$D$14="ALL",COUNTIF(Routes!$D$14:$G$14,FAQs!$C25)&gt;0,AND(FAQs!$D25&lt;&gt;"",COUNTIF(Routes!$D$14:$G$14,FAQs!$D25)&gt;0)))),"●","")</f>
        <v>●</v>
      </c>
      <c r="P25" s="12" t="str">
        <f aca="false">IF(OR(ISNUMBER(SEARCH(","&amp;P$1&amp;",",","&amp;SUBSTITUTE(FAQs!$G25," ","")&amp;",")),AND(OR(FAQs!$E25="both",Routes!$C$15="both",FAQs!$E25=Routes!$C$15),OR(Routes!$D$15="ALL",COUNTIF(Routes!$D$15:$G$15,FAQs!$C25)&gt;0,AND(FAQs!$D25&lt;&gt;"",COUNTIF(Routes!$D$15:$G$15,FAQs!$D25)&gt;0)))),"●","")</f>
        <v/>
      </c>
      <c r="Q25" s="12" t="str">
        <f aca="false">IF(OR(ISNUMBER(SEARCH(","&amp;Q$1&amp;",",","&amp;SUBSTITUTE(FAQs!$G25," ","")&amp;",")),AND(OR(FAQs!$E25="both",Routes!$C$16="both",FAQs!$E25=Routes!$C$16),OR(Routes!$D$16="ALL",COUNTIF(Routes!$D$16:$G$16,FAQs!$C25)&gt;0,AND(FAQs!$D25&lt;&gt;"",COUNTIF(Routes!$D$16:$G$16,FAQs!$D25)&gt;0)))),"●","")</f>
        <v/>
      </c>
      <c r="R25" s="12" t="str">
        <f aca="false">IF(OR(ISNUMBER(SEARCH(","&amp;R$1&amp;",",","&amp;SUBSTITUTE(FAQs!$G25," ","")&amp;",")),AND(OR(FAQs!$E25="both",Routes!$C$17="both",FAQs!$E25=Routes!$C$17),OR(Routes!$D$17="ALL",COUNTIF(Routes!$D$17:$G$17,FAQs!$C25)&gt;0,AND(FAQs!$D25&lt;&gt;"",COUNTIF(Routes!$D$17:$G$17,FAQs!$D25)&gt;0)))),"●","")</f>
        <v/>
      </c>
      <c r="S25" s="12" t="str">
        <f aca="false">IF(OR(ISNUMBER(SEARCH(","&amp;S$1&amp;",",","&amp;SUBSTITUTE(FAQs!$G25," ","")&amp;",")),AND(OR(FAQs!$E25="both",Routes!$C$18="both",FAQs!$E25=Routes!$C$18),OR(Routes!$D$18="ALL",COUNTIF(Routes!$D$18:$G$18,FAQs!$C25)&gt;0,AND(FAQs!$D25&lt;&gt;"",COUNTIF(Routes!$D$18:$G$18,FAQs!$D25)&gt;0)))),"●","")</f>
        <v/>
      </c>
      <c r="T25" s="12" t="str">
        <f aca="false">IF(OR(ISNUMBER(SEARCH(","&amp;T$1&amp;",",","&amp;SUBSTITUTE(FAQs!$G25," ","")&amp;",")),AND(OR(FAQs!$E25="both",Routes!$C$19="both",FAQs!$E25=Routes!$C$19),OR(Routes!$D$19="ALL",COUNTIF(Routes!$D$19:$G$19,FAQs!$C25)&gt;0,AND(FAQs!$D25&lt;&gt;"",COUNTIF(Routes!$D$19:$G$19,FAQs!$D25)&gt;0)))),"●","")</f>
        <v/>
      </c>
      <c r="U25" s="9" t="n">
        <f aca="false">COUNTIF(C25:T25,"●")</f>
        <v>4</v>
      </c>
    </row>
    <row r="26" customFormat="false" ht="15" hidden="false" customHeight="false" outlineLevel="0" collapsed="false">
      <c r="A26" s="9" t="str">
        <f aca="false">FAQs!A26</f>
        <v>F25</v>
      </c>
      <c r="B26" s="9" t="str">
        <f aca="false">FAQs!H26</f>
        <v>Can you print a document for me?</v>
      </c>
      <c r="C26" s="12" t="str">
        <f aca="false">IF(OR(ISNUMBER(SEARCH(","&amp;C$1&amp;",",","&amp;SUBSTITUTE(FAQs!$G26," ","")&amp;",")),AND(OR(FAQs!$E26="both",Routes!$C$2="both",FAQs!$E26=Routes!$C$2),OR(Routes!$D$2="ALL",COUNTIF(Routes!$D$2:$G$2,FAQs!$C26)&gt;0,AND(FAQs!$D26&lt;&gt;"",COUNTIF(Routes!$D$2:$G$2,FAQs!$D26)&gt;0)))),"●","")</f>
        <v/>
      </c>
      <c r="D26" s="12" t="str">
        <f aca="false">IF(OR(ISNUMBER(SEARCH(","&amp;D$1&amp;",",","&amp;SUBSTITUTE(FAQs!$G26," ","")&amp;",")),AND(OR(FAQs!$E26="both",Routes!$C$3="both",FAQs!$E26=Routes!$C$3),OR(Routes!$D$3="ALL",COUNTIF(Routes!$D$3:$G$3,FAQs!$C26)&gt;0,AND(FAQs!$D26&lt;&gt;"",COUNTIF(Routes!$D$3:$G$3,FAQs!$D26)&gt;0)))),"●","")</f>
        <v/>
      </c>
      <c r="E26" s="12" t="str">
        <f aca="false">IF(OR(ISNUMBER(SEARCH(","&amp;E$1&amp;",",","&amp;SUBSTITUTE(FAQs!$G26," ","")&amp;",")),AND(OR(FAQs!$E26="both",Routes!$C$4="both",FAQs!$E26=Routes!$C$4),OR(Routes!$D$4="ALL",COUNTIF(Routes!$D$4:$G$4,FAQs!$C26)&gt;0,AND(FAQs!$D26&lt;&gt;"",COUNTIF(Routes!$D$4:$G$4,FAQs!$D26)&gt;0)))),"●","")</f>
        <v/>
      </c>
      <c r="F26" s="12" t="str">
        <f aca="false">IF(OR(ISNUMBER(SEARCH(","&amp;F$1&amp;",",","&amp;SUBSTITUTE(FAQs!$G26," ","")&amp;",")),AND(OR(FAQs!$E26="both",Routes!$C$5="both",FAQs!$E26=Routes!$C$5),OR(Routes!$D$5="ALL",COUNTIF(Routes!$D$5:$G$5,FAQs!$C26)&gt;0,AND(FAQs!$D26&lt;&gt;"",COUNTIF(Routes!$D$5:$G$5,FAQs!$D26)&gt;0)))),"●","")</f>
        <v/>
      </c>
      <c r="G26" s="12" t="str">
        <f aca="false">IF(OR(ISNUMBER(SEARCH(","&amp;G$1&amp;",",","&amp;SUBSTITUTE(FAQs!$G26," ","")&amp;",")),AND(OR(FAQs!$E26="both",Routes!$C$6="both",FAQs!$E26=Routes!$C$6),OR(Routes!$D$6="ALL",COUNTIF(Routes!$D$6:$G$6,FAQs!$C26)&gt;0,AND(FAQs!$D26&lt;&gt;"",COUNTIF(Routes!$D$6:$G$6,FAQs!$D26)&gt;0)))),"●","")</f>
        <v/>
      </c>
      <c r="H26" s="12" t="str">
        <f aca="false">IF(OR(ISNUMBER(SEARCH(","&amp;H$1&amp;",",","&amp;SUBSTITUTE(FAQs!$G26," ","")&amp;",")),AND(OR(FAQs!$E26="both",Routes!$C$7="both",FAQs!$E26=Routes!$C$7),OR(Routes!$D$7="ALL",COUNTIF(Routes!$D$7:$G$7,FAQs!$C26)&gt;0,AND(FAQs!$D26&lt;&gt;"",COUNTIF(Routes!$D$7:$G$7,FAQs!$D26)&gt;0)))),"●","")</f>
        <v/>
      </c>
      <c r="I26" s="12" t="str">
        <f aca="false">IF(OR(ISNUMBER(SEARCH(","&amp;I$1&amp;",",","&amp;SUBSTITUTE(FAQs!$G26," ","")&amp;",")),AND(OR(FAQs!$E26="both",Routes!$C$8="both",FAQs!$E26=Routes!$C$8),OR(Routes!$D$8="ALL",COUNTIF(Routes!$D$8:$G$8,FAQs!$C26)&gt;0,AND(FAQs!$D26&lt;&gt;"",COUNTIF(Routes!$D$8:$G$8,FAQs!$D26)&gt;0)))),"●","")</f>
        <v/>
      </c>
      <c r="J26" s="12" t="str">
        <f aca="false">IF(OR(ISNUMBER(SEARCH(","&amp;J$1&amp;",",","&amp;SUBSTITUTE(FAQs!$G26," ","")&amp;",")),AND(OR(FAQs!$E26="both",Routes!$C$9="both",FAQs!$E26=Routes!$C$9),OR(Routes!$D$9="ALL",COUNTIF(Routes!$D$9:$G$9,FAQs!$C26)&gt;0,AND(FAQs!$D26&lt;&gt;"",COUNTIF(Routes!$D$9:$G$9,FAQs!$D26)&gt;0)))),"●","")</f>
        <v/>
      </c>
      <c r="K26" s="12" t="str">
        <f aca="false">IF(OR(ISNUMBER(SEARCH(","&amp;K$1&amp;",",","&amp;SUBSTITUTE(FAQs!$G26," ","")&amp;",")),AND(OR(FAQs!$E26="both",Routes!$C$10="both",FAQs!$E26=Routes!$C$10),OR(Routes!$D$10="ALL",COUNTIF(Routes!$D$10:$G$10,FAQs!$C26)&gt;0,AND(FAQs!$D26&lt;&gt;"",COUNTIF(Routes!$D$10:$G$10,FAQs!$D26)&gt;0)))),"●","")</f>
        <v/>
      </c>
      <c r="L26" s="12" t="str">
        <f aca="false">IF(OR(ISNUMBER(SEARCH(","&amp;L$1&amp;",",","&amp;SUBSTITUTE(FAQs!$G26," ","")&amp;",")),AND(OR(FAQs!$E26="both",Routes!$C$11="both",FAQs!$E26=Routes!$C$11),OR(Routes!$D$11="ALL",COUNTIF(Routes!$D$11:$G$11,FAQs!$C26)&gt;0,AND(FAQs!$D26&lt;&gt;"",COUNTIF(Routes!$D$11:$G$11,FAQs!$D26)&gt;0)))),"●","")</f>
        <v>●</v>
      </c>
      <c r="M26" s="12" t="str">
        <f aca="false">IF(OR(ISNUMBER(SEARCH(","&amp;M$1&amp;",",","&amp;SUBSTITUTE(FAQs!$G26," ","")&amp;",")),AND(OR(FAQs!$E26="both",Routes!$C$12="both",FAQs!$E26=Routes!$C$12),OR(Routes!$D$12="ALL",COUNTIF(Routes!$D$12:$G$12,FAQs!$C26)&gt;0,AND(FAQs!$D26&lt;&gt;"",COUNTIF(Routes!$D$12:$G$12,FAQs!$D26)&gt;0)))),"●","")</f>
        <v/>
      </c>
      <c r="N26" s="12" t="str">
        <f aca="false">IF(OR(ISNUMBER(SEARCH(","&amp;N$1&amp;",",","&amp;SUBSTITUTE(FAQs!$G26," ","")&amp;",")),AND(OR(FAQs!$E26="both",Routes!$C$13="both",FAQs!$E26=Routes!$C$13),OR(Routes!$D$13="ALL",COUNTIF(Routes!$D$13:$G$13,FAQs!$C26)&gt;0,AND(FAQs!$D26&lt;&gt;"",COUNTIF(Routes!$D$13:$G$13,FAQs!$D26)&gt;0)))),"●","")</f>
        <v/>
      </c>
      <c r="O26" s="12" t="str">
        <f aca="false">IF(OR(ISNUMBER(SEARCH(","&amp;O$1&amp;",",","&amp;SUBSTITUTE(FAQs!$G26," ","")&amp;",")),AND(OR(FAQs!$E26="both",Routes!$C$14="both",FAQs!$E26=Routes!$C$14),OR(Routes!$D$14="ALL",COUNTIF(Routes!$D$14:$G$14,FAQs!$C26)&gt;0,AND(FAQs!$D26&lt;&gt;"",COUNTIF(Routes!$D$14:$G$14,FAQs!$D26)&gt;0)))),"●","")</f>
        <v>●</v>
      </c>
      <c r="P26" s="12" t="str">
        <f aca="false">IF(OR(ISNUMBER(SEARCH(","&amp;P$1&amp;",",","&amp;SUBSTITUTE(FAQs!$G26," ","")&amp;",")),AND(OR(FAQs!$E26="both",Routes!$C$15="both",FAQs!$E26=Routes!$C$15),OR(Routes!$D$15="ALL",COUNTIF(Routes!$D$15:$G$15,FAQs!$C26)&gt;0,AND(FAQs!$D26&lt;&gt;"",COUNTIF(Routes!$D$15:$G$15,FAQs!$D26)&gt;0)))),"●","")</f>
        <v/>
      </c>
      <c r="Q26" s="12" t="str">
        <f aca="false">IF(OR(ISNUMBER(SEARCH(","&amp;Q$1&amp;",",","&amp;SUBSTITUTE(FAQs!$G26," ","")&amp;",")),AND(OR(FAQs!$E26="both",Routes!$C$16="both",FAQs!$E26=Routes!$C$16),OR(Routes!$D$16="ALL",COUNTIF(Routes!$D$16:$G$16,FAQs!$C26)&gt;0,AND(FAQs!$D26&lt;&gt;"",COUNTIF(Routes!$D$16:$G$16,FAQs!$D26)&gt;0)))),"●","")</f>
        <v/>
      </c>
      <c r="R26" s="12" t="str">
        <f aca="false">IF(OR(ISNUMBER(SEARCH(","&amp;R$1&amp;",",","&amp;SUBSTITUTE(FAQs!$G26," ","")&amp;",")),AND(OR(FAQs!$E26="both",Routes!$C$17="both",FAQs!$E26=Routes!$C$17),OR(Routes!$D$17="ALL",COUNTIF(Routes!$D$17:$G$17,FAQs!$C26)&gt;0,AND(FAQs!$D26&lt;&gt;"",COUNTIF(Routes!$D$17:$G$17,FAQs!$D26)&gt;0)))),"●","")</f>
        <v/>
      </c>
      <c r="S26" s="12" t="str">
        <f aca="false">IF(OR(ISNUMBER(SEARCH(","&amp;S$1&amp;",",","&amp;SUBSTITUTE(FAQs!$G26," ","")&amp;",")),AND(OR(FAQs!$E26="both",Routes!$C$18="both",FAQs!$E26=Routes!$C$18),OR(Routes!$D$18="ALL",COUNTIF(Routes!$D$18:$G$18,FAQs!$C26)&gt;0,AND(FAQs!$D26&lt;&gt;"",COUNTIF(Routes!$D$18:$G$18,FAQs!$D26)&gt;0)))),"●","")</f>
        <v/>
      </c>
      <c r="T26" s="12" t="str">
        <f aca="false">IF(OR(ISNUMBER(SEARCH(","&amp;T$1&amp;",",","&amp;SUBSTITUTE(FAQs!$G26," ","")&amp;",")),AND(OR(FAQs!$E26="both",Routes!$C$19="both",FAQs!$E26=Routes!$C$19),OR(Routes!$D$19="ALL",COUNTIF(Routes!$D$19:$G$19,FAQs!$C26)&gt;0,AND(FAQs!$D26&lt;&gt;"",COUNTIF(Routes!$D$19:$G$19,FAQs!$D26)&gt;0)))),"●","")</f>
        <v/>
      </c>
      <c r="U26" s="9" t="n">
        <f aca="false">COUNTIF(C26:T26,"●")</f>
        <v>2</v>
      </c>
    </row>
    <row r="27" customFormat="false" ht="15" hidden="false" customHeight="false" outlineLevel="0" collapsed="false">
      <c r="A27" s="9" t="str">
        <f aca="false">FAQs!A27</f>
        <v>F26</v>
      </c>
      <c r="B27" s="9" t="str">
        <f aca="false">FAQs!H27</f>
        <v>What are the sauna opening hours?</v>
      </c>
      <c r="C27" s="12" t="str">
        <f aca="false">IF(OR(ISNUMBER(SEARCH(","&amp;C$1&amp;",",","&amp;SUBSTITUTE(FAQs!$G27," ","")&amp;",")),AND(OR(FAQs!$E27="both",Routes!$C$2="both",FAQs!$E27=Routes!$C$2),OR(Routes!$D$2="ALL",COUNTIF(Routes!$D$2:$G$2,FAQs!$C27)&gt;0,AND(FAQs!$D27&lt;&gt;"",COUNTIF(Routes!$D$2:$G$2,FAQs!$D27)&gt;0)))),"●","")</f>
        <v/>
      </c>
      <c r="D27" s="12" t="str">
        <f aca="false">IF(OR(ISNUMBER(SEARCH(","&amp;D$1&amp;",",","&amp;SUBSTITUTE(FAQs!$G27," ","")&amp;",")),AND(OR(FAQs!$E27="both",Routes!$C$3="both",FAQs!$E27=Routes!$C$3),OR(Routes!$D$3="ALL",COUNTIF(Routes!$D$3:$G$3,FAQs!$C27)&gt;0,AND(FAQs!$D27&lt;&gt;"",COUNTIF(Routes!$D$3:$G$3,FAQs!$D27)&gt;0)))),"●","")</f>
        <v/>
      </c>
      <c r="E27" s="12" t="str">
        <f aca="false">IF(OR(ISNUMBER(SEARCH(","&amp;E$1&amp;",",","&amp;SUBSTITUTE(FAQs!$G27," ","")&amp;",")),AND(OR(FAQs!$E27="both",Routes!$C$4="both",FAQs!$E27=Routes!$C$4),OR(Routes!$D$4="ALL",COUNTIF(Routes!$D$4:$G$4,FAQs!$C27)&gt;0,AND(FAQs!$D27&lt;&gt;"",COUNTIF(Routes!$D$4:$G$4,FAQs!$D27)&gt;0)))),"●","")</f>
        <v/>
      </c>
      <c r="F27" s="12" t="str">
        <f aca="false">IF(OR(ISNUMBER(SEARCH(","&amp;F$1&amp;",",","&amp;SUBSTITUTE(FAQs!$G27," ","")&amp;",")),AND(OR(FAQs!$E27="both",Routes!$C$5="both",FAQs!$E27=Routes!$C$5),OR(Routes!$D$5="ALL",COUNTIF(Routes!$D$5:$G$5,FAQs!$C27)&gt;0,AND(FAQs!$D27&lt;&gt;"",COUNTIF(Routes!$D$5:$G$5,FAQs!$D27)&gt;0)))),"●","")</f>
        <v/>
      </c>
      <c r="G27" s="12" t="str">
        <f aca="false">IF(OR(ISNUMBER(SEARCH(","&amp;G$1&amp;",",","&amp;SUBSTITUTE(FAQs!$G27," ","")&amp;",")),AND(OR(FAQs!$E27="both",Routes!$C$6="both",FAQs!$E27=Routes!$C$6),OR(Routes!$D$6="ALL",COUNTIF(Routes!$D$6:$G$6,FAQs!$C27)&gt;0,AND(FAQs!$D27&lt;&gt;"",COUNTIF(Routes!$D$6:$G$6,FAQs!$D27)&gt;0)))),"●","")</f>
        <v>●</v>
      </c>
      <c r="H27" s="12" t="str">
        <f aca="false">IF(OR(ISNUMBER(SEARCH(","&amp;H$1&amp;",",","&amp;SUBSTITUTE(FAQs!$G27," ","")&amp;",")),AND(OR(FAQs!$E27="both",Routes!$C$7="both",FAQs!$E27=Routes!$C$7),OR(Routes!$D$7="ALL",COUNTIF(Routes!$D$7:$G$7,FAQs!$C27)&gt;0,AND(FAQs!$D27&lt;&gt;"",COUNTIF(Routes!$D$7:$G$7,FAQs!$D27)&gt;0)))),"●","")</f>
        <v/>
      </c>
      <c r="I27" s="12" t="str">
        <f aca="false">IF(OR(ISNUMBER(SEARCH(","&amp;I$1&amp;",",","&amp;SUBSTITUTE(FAQs!$G27," ","")&amp;",")),AND(OR(FAQs!$E27="both",Routes!$C$8="both",FAQs!$E27=Routes!$C$8),OR(Routes!$D$8="ALL",COUNTIF(Routes!$D$8:$G$8,FAQs!$C27)&gt;0,AND(FAQs!$D27&lt;&gt;"",COUNTIF(Routes!$D$8:$G$8,FAQs!$D27)&gt;0)))),"●","")</f>
        <v/>
      </c>
      <c r="J27" s="12" t="str">
        <f aca="false">IF(OR(ISNUMBER(SEARCH(","&amp;J$1&amp;",",","&amp;SUBSTITUTE(FAQs!$G27," ","")&amp;",")),AND(OR(FAQs!$E27="both",Routes!$C$9="both",FAQs!$E27=Routes!$C$9),OR(Routes!$D$9="ALL",COUNTIF(Routes!$D$9:$G$9,FAQs!$C27)&gt;0,AND(FAQs!$D27&lt;&gt;"",COUNTIF(Routes!$D$9:$G$9,FAQs!$D27)&gt;0)))),"●","")</f>
        <v/>
      </c>
      <c r="K27" s="12" t="str">
        <f aca="false">IF(OR(ISNUMBER(SEARCH(","&amp;K$1&amp;",",","&amp;SUBSTITUTE(FAQs!$G27," ","")&amp;",")),AND(OR(FAQs!$E27="both",Routes!$C$10="both",FAQs!$E27=Routes!$C$10),OR(Routes!$D$10="ALL",COUNTIF(Routes!$D$10:$G$10,FAQs!$C27)&gt;0,AND(FAQs!$D27&lt;&gt;"",COUNTIF(Routes!$D$10:$G$10,FAQs!$D27)&gt;0)))),"●","")</f>
        <v>●</v>
      </c>
      <c r="L27" s="12" t="str">
        <f aca="false">IF(OR(ISNUMBER(SEARCH(","&amp;L$1&amp;",",","&amp;SUBSTITUTE(FAQs!$G27," ","")&amp;",")),AND(OR(FAQs!$E27="both",Routes!$C$11="both",FAQs!$E27=Routes!$C$11),OR(Routes!$D$11="ALL",COUNTIF(Routes!$D$11:$G$11,FAQs!$C27)&gt;0,AND(FAQs!$D27&lt;&gt;"",COUNTIF(Routes!$D$11:$G$11,FAQs!$D27)&gt;0)))),"●","")</f>
        <v>●</v>
      </c>
      <c r="M27" s="12" t="str">
        <f aca="false">IF(OR(ISNUMBER(SEARCH(","&amp;M$1&amp;",",","&amp;SUBSTITUTE(FAQs!$G27," ","")&amp;",")),AND(OR(FAQs!$E27="both",Routes!$C$12="both",FAQs!$E27=Routes!$C$12),OR(Routes!$D$12="ALL",COUNTIF(Routes!$D$12:$G$12,FAQs!$C27)&gt;0,AND(FAQs!$D27&lt;&gt;"",COUNTIF(Routes!$D$12:$G$12,FAQs!$D27)&gt;0)))),"●","")</f>
        <v/>
      </c>
      <c r="N27" s="12" t="str">
        <f aca="false">IF(OR(ISNUMBER(SEARCH(","&amp;N$1&amp;",",","&amp;SUBSTITUTE(FAQs!$G27," ","")&amp;",")),AND(OR(FAQs!$E27="both",Routes!$C$13="both",FAQs!$E27=Routes!$C$13),OR(Routes!$D$13="ALL",COUNTIF(Routes!$D$13:$G$13,FAQs!$C27)&gt;0,AND(FAQs!$D27&lt;&gt;"",COUNTIF(Routes!$D$13:$G$13,FAQs!$D27)&gt;0)))),"●","")</f>
        <v/>
      </c>
      <c r="O27" s="12" t="str">
        <f aca="false">IF(OR(ISNUMBER(SEARCH(","&amp;O$1&amp;",",","&amp;SUBSTITUTE(FAQs!$G27," ","")&amp;",")),AND(OR(FAQs!$E27="both",Routes!$C$14="both",FAQs!$E27=Routes!$C$14),OR(Routes!$D$14="ALL",COUNTIF(Routes!$D$14:$G$14,FAQs!$C27)&gt;0,AND(FAQs!$D27&lt;&gt;"",COUNTIF(Routes!$D$14:$G$14,FAQs!$D27)&gt;0)))),"●","")</f>
        <v>●</v>
      </c>
      <c r="P27" s="12" t="str">
        <f aca="false">IF(OR(ISNUMBER(SEARCH(","&amp;P$1&amp;",",","&amp;SUBSTITUTE(FAQs!$G27," ","")&amp;",")),AND(OR(FAQs!$E27="both",Routes!$C$15="both",FAQs!$E27=Routes!$C$15),OR(Routes!$D$15="ALL",COUNTIF(Routes!$D$15:$G$15,FAQs!$C27)&gt;0,AND(FAQs!$D27&lt;&gt;"",COUNTIF(Routes!$D$15:$G$15,FAQs!$D27)&gt;0)))),"●","")</f>
        <v/>
      </c>
      <c r="Q27" s="12" t="str">
        <f aca="false">IF(OR(ISNUMBER(SEARCH(","&amp;Q$1&amp;",",","&amp;SUBSTITUTE(FAQs!$G27," ","")&amp;",")),AND(OR(FAQs!$E27="both",Routes!$C$16="both",FAQs!$E27=Routes!$C$16),OR(Routes!$D$16="ALL",COUNTIF(Routes!$D$16:$G$16,FAQs!$C27)&gt;0,AND(FAQs!$D27&lt;&gt;"",COUNTIF(Routes!$D$16:$G$16,FAQs!$D27)&gt;0)))),"●","")</f>
        <v/>
      </c>
      <c r="R27" s="12" t="str">
        <f aca="false">IF(OR(ISNUMBER(SEARCH(","&amp;R$1&amp;",",","&amp;SUBSTITUTE(FAQs!$G27," ","")&amp;",")),AND(OR(FAQs!$E27="both",Routes!$C$17="both",FAQs!$E27=Routes!$C$17),OR(Routes!$D$17="ALL",COUNTIF(Routes!$D$17:$G$17,FAQs!$C27)&gt;0,AND(FAQs!$D27&lt;&gt;"",COUNTIF(Routes!$D$17:$G$17,FAQs!$D27)&gt;0)))),"●","")</f>
        <v/>
      </c>
      <c r="S27" s="12" t="str">
        <f aca="false">IF(OR(ISNUMBER(SEARCH(","&amp;S$1&amp;",",","&amp;SUBSTITUTE(FAQs!$G27," ","")&amp;",")),AND(OR(FAQs!$E27="both",Routes!$C$18="both",FAQs!$E27=Routes!$C$18),OR(Routes!$D$18="ALL",COUNTIF(Routes!$D$18:$G$18,FAQs!$C27)&gt;0,AND(FAQs!$D27&lt;&gt;"",COUNTIF(Routes!$D$18:$G$18,FAQs!$D27)&gt;0)))),"●","")</f>
        <v/>
      </c>
      <c r="T27" s="12" t="str">
        <f aca="false">IF(OR(ISNUMBER(SEARCH(","&amp;T$1&amp;",",","&amp;SUBSTITUTE(FAQs!$G27," ","")&amp;",")),AND(OR(FAQs!$E27="both",Routes!$C$19="both",FAQs!$E27=Routes!$C$19),OR(Routes!$D$19="ALL",COUNTIF(Routes!$D$19:$G$19,FAQs!$C27)&gt;0,AND(FAQs!$D27&lt;&gt;"",COUNTIF(Routes!$D$19:$G$19,FAQs!$D27)&gt;0)))),"●","")</f>
        <v/>
      </c>
      <c r="U27" s="9" t="n">
        <f aca="false">COUNTIF(C27:T27,"●")</f>
        <v>4</v>
      </c>
    </row>
    <row r="28" customFormat="false" ht="15" hidden="false" customHeight="false" outlineLevel="0" collapsed="false">
      <c r="A28" s="9" t="str">
        <f aca="false">FAQs!A28</f>
        <v>F27</v>
      </c>
      <c r="B28" s="9" t="str">
        <f aca="false">FAQs!H28</f>
        <v>Is the sauna clothing-free?</v>
      </c>
      <c r="C28" s="12" t="str">
        <f aca="false">IF(OR(ISNUMBER(SEARCH(","&amp;C$1&amp;",",","&amp;SUBSTITUTE(FAQs!$G28," ","")&amp;",")),AND(OR(FAQs!$E28="both",Routes!$C$2="both",FAQs!$E28=Routes!$C$2),OR(Routes!$D$2="ALL",COUNTIF(Routes!$D$2:$G$2,FAQs!$C28)&gt;0,AND(FAQs!$D28&lt;&gt;"",COUNTIF(Routes!$D$2:$G$2,FAQs!$D28)&gt;0)))),"●","")</f>
        <v/>
      </c>
      <c r="D28" s="12" t="str">
        <f aca="false">IF(OR(ISNUMBER(SEARCH(","&amp;D$1&amp;",",","&amp;SUBSTITUTE(FAQs!$G28," ","")&amp;",")),AND(OR(FAQs!$E28="both",Routes!$C$3="both",FAQs!$E28=Routes!$C$3),OR(Routes!$D$3="ALL",COUNTIF(Routes!$D$3:$G$3,FAQs!$C28)&gt;0,AND(FAQs!$D28&lt;&gt;"",COUNTIF(Routes!$D$3:$G$3,FAQs!$D28)&gt;0)))),"●","")</f>
        <v/>
      </c>
      <c r="E28" s="12" t="str">
        <f aca="false">IF(OR(ISNUMBER(SEARCH(","&amp;E$1&amp;",",","&amp;SUBSTITUTE(FAQs!$G28," ","")&amp;",")),AND(OR(FAQs!$E28="both",Routes!$C$4="both",FAQs!$E28=Routes!$C$4),OR(Routes!$D$4="ALL",COUNTIF(Routes!$D$4:$G$4,FAQs!$C28)&gt;0,AND(FAQs!$D28&lt;&gt;"",COUNTIF(Routes!$D$4:$G$4,FAQs!$D28)&gt;0)))),"●","")</f>
        <v/>
      </c>
      <c r="F28" s="12" t="str">
        <f aca="false">IF(OR(ISNUMBER(SEARCH(","&amp;F$1&amp;",",","&amp;SUBSTITUTE(FAQs!$G28," ","")&amp;",")),AND(OR(FAQs!$E28="both",Routes!$C$5="both",FAQs!$E28=Routes!$C$5),OR(Routes!$D$5="ALL",COUNTIF(Routes!$D$5:$G$5,FAQs!$C28)&gt;0,AND(FAQs!$D28&lt;&gt;"",COUNTIF(Routes!$D$5:$G$5,FAQs!$D28)&gt;0)))),"●","")</f>
        <v/>
      </c>
      <c r="G28" s="12" t="str">
        <f aca="false">IF(OR(ISNUMBER(SEARCH(","&amp;G$1&amp;",",","&amp;SUBSTITUTE(FAQs!$G28," ","")&amp;",")),AND(OR(FAQs!$E28="both",Routes!$C$6="both",FAQs!$E28=Routes!$C$6),OR(Routes!$D$6="ALL",COUNTIF(Routes!$D$6:$G$6,FAQs!$C28)&gt;0,AND(FAQs!$D28&lt;&gt;"",COUNTIF(Routes!$D$6:$G$6,FAQs!$D28)&gt;0)))),"●","")</f>
        <v>●</v>
      </c>
      <c r="H28" s="12" t="str">
        <f aca="false">IF(OR(ISNUMBER(SEARCH(","&amp;H$1&amp;",",","&amp;SUBSTITUTE(FAQs!$G28," ","")&amp;",")),AND(OR(FAQs!$E28="both",Routes!$C$7="both",FAQs!$E28=Routes!$C$7),OR(Routes!$D$7="ALL",COUNTIF(Routes!$D$7:$G$7,FAQs!$C28)&gt;0,AND(FAQs!$D28&lt;&gt;"",COUNTIF(Routes!$D$7:$G$7,FAQs!$D28)&gt;0)))),"●","")</f>
        <v/>
      </c>
      <c r="I28" s="12" t="str">
        <f aca="false">IF(OR(ISNUMBER(SEARCH(","&amp;I$1&amp;",",","&amp;SUBSTITUTE(FAQs!$G28," ","")&amp;",")),AND(OR(FAQs!$E28="both",Routes!$C$8="both",FAQs!$E28=Routes!$C$8),OR(Routes!$D$8="ALL",COUNTIF(Routes!$D$8:$G$8,FAQs!$C28)&gt;0,AND(FAQs!$D28&lt;&gt;"",COUNTIF(Routes!$D$8:$G$8,FAQs!$D28)&gt;0)))),"●","")</f>
        <v/>
      </c>
      <c r="J28" s="12" t="str">
        <f aca="false">IF(OR(ISNUMBER(SEARCH(","&amp;J$1&amp;",",","&amp;SUBSTITUTE(FAQs!$G28," ","")&amp;",")),AND(OR(FAQs!$E28="both",Routes!$C$9="both",FAQs!$E28=Routes!$C$9),OR(Routes!$D$9="ALL",COUNTIF(Routes!$D$9:$G$9,FAQs!$C28)&gt;0,AND(FAQs!$D28&lt;&gt;"",COUNTIF(Routes!$D$9:$G$9,FAQs!$D28)&gt;0)))),"●","")</f>
        <v/>
      </c>
      <c r="K28" s="12" t="str">
        <f aca="false">IF(OR(ISNUMBER(SEARCH(","&amp;K$1&amp;",",","&amp;SUBSTITUTE(FAQs!$G28," ","")&amp;",")),AND(OR(FAQs!$E28="both",Routes!$C$10="both",FAQs!$E28=Routes!$C$10),OR(Routes!$D$10="ALL",COUNTIF(Routes!$D$10:$G$10,FAQs!$C28)&gt;0,AND(FAQs!$D28&lt;&gt;"",COUNTIF(Routes!$D$10:$G$10,FAQs!$D28)&gt;0)))),"●","")</f>
        <v>●</v>
      </c>
      <c r="L28" s="12" t="str">
        <f aca="false">IF(OR(ISNUMBER(SEARCH(","&amp;L$1&amp;",",","&amp;SUBSTITUTE(FAQs!$G28," ","")&amp;",")),AND(OR(FAQs!$E28="both",Routes!$C$11="both",FAQs!$E28=Routes!$C$11),OR(Routes!$D$11="ALL",COUNTIF(Routes!$D$11:$G$11,FAQs!$C28)&gt;0,AND(FAQs!$D28&lt;&gt;"",COUNTIF(Routes!$D$11:$G$11,FAQs!$D28)&gt;0)))),"●","")</f>
        <v/>
      </c>
      <c r="M28" s="12" t="str">
        <f aca="false">IF(OR(ISNUMBER(SEARCH(","&amp;M$1&amp;",",","&amp;SUBSTITUTE(FAQs!$G28," ","")&amp;",")),AND(OR(FAQs!$E28="both",Routes!$C$12="both",FAQs!$E28=Routes!$C$12),OR(Routes!$D$12="ALL",COUNTIF(Routes!$D$12:$G$12,FAQs!$C28)&gt;0,AND(FAQs!$D28&lt;&gt;"",COUNTIF(Routes!$D$12:$G$12,FAQs!$D28)&gt;0)))),"●","")</f>
        <v/>
      </c>
      <c r="N28" s="12" t="str">
        <f aca="false">IF(OR(ISNUMBER(SEARCH(","&amp;N$1&amp;",",","&amp;SUBSTITUTE(FAQs!$G28," ","")&amp;",")),AND(OR(FAQs!$E28="both",Routes!$C$13="both",FAQs!$E28=Routes!$C$13),OR(Routes!$D$13="ALL",COUNTIF(Routes!$D$13:$G$13,FAQs!$C28)&gt;0,AND(FAQs!$D28&lt;&gt;"",COUNTIF(Routes!$D$13:$G$13,FAQs!$D28)&gt;0)))),"●","")</f>
        <v/>
      </c>
      <c r="O28" s="12" t="str">
        <f aca="false">IF(OR(ISNUMBER(SEARCH(","&amp;O$1&amp;",",","&amp;SUBSTITUTE(FAQs!$G28," ","")&amp;",")),AND(OR(FAQs!$E28="both",Routes!$C$14="both",FAQs!$E28=Routes!$C$14),OR(Routes!$D$14="ALL",COUNTIF(Routes!$D$14:$G$14,FAQs!$C28)&gt;0,AND(FAQs!$D28&lt;&gt;"",COUNTIF(Routes!$D$14:$G$14,FAQs!$D28)&gt;0)))),"●","")</f>
        <v>●</v>
      </c>
      <c r="P28" s="12" t="str">
        <f aca="false">IF(OR(ISNUMBER(SEARCH(","&amp;P$1&amp;",",","&amp;SUBSTITUTE(FAQs!$G28," ","")&amp;",")),AND(OR(FAQs!$E28="both",Routes!$C$15="both",FAQs!$E28=Routes!$C$15),OR(Routes!$D$15="ALL",COUNTIF(Routes!$D$15:$G$15,FAQs!$C28)&gt;0,AND(FAQs!$D28&lt;&gt;"",COUNTIF(Routes!$D$15:$G$15,FAQs!$D28)&gt;0)))),"●","")</f>
        <v/>
      </c>
      <c r="Q28" s="12" t="str">
        <f aca="false">IF(OR(ISNUMBER(SEARCH(","&amp;Q$1&amp;",",","&amp;SUBSTITUTE(FAQs!$G28," ","")&amp;",")),AND(OR(FAQs!$E28="both",Routes!$C$16="both",FAQs!$E28=Routes!$C$16),OR(Routes!$D$16="ALL",COUNTIF(Routes!$D$16:$G$16,FAQs!$C28)&gt;0,AND(FAQs!$D28&lt;&gt;"",COUNTIF(Routes!$D$16:$G$16,FAQs!$D28)&gt;0)))),"●","")</f>
        <v/>
      </c>
      <c r="R28" s="12" t="str">
        <f aca="false">IF(OR(ISNUMBER(SEARCH(","&amp;R$1&amp;",",","&amp;SUBSTITUTE(FAQs!$G28," ","")&amp;",")),AND(OR(FAQs!$E28="both",Routes!$C$17="both",FAQs!$E28=Routes!$C$17),OR(Routes!$D$17="ALL",COUNTIF(Routes!$D$17:$G$17,FAQs!$C28)&gt;0,AND(FAQs!$D28&lt;&gt;"",COUNTIF(Routes!$D$17:$G$17,FAQs!$D28)&gt;0)))),"●","")</f>
        <v/>
      </c>
      <c r="S28" s="12" t="str">
        <f aca="false">IF(OR(ISNUMBER(SEARCH(","&amp;S$1&amp;",",","&amp;SUBSTITUTE(FAQs!$G28," ","")&amp;",")),AND(OR(FAQs!$E28="both",Routes!$C$18="both",FAQs!$E28=Routes!$C$18),OR(Routes!$D$18="ALL",COUNTIF(Routes!$D$18:$G$18,FAQs!$C28)&gt;0,AND(FAQs!$D28&lt;&gt;"",COUNTIF(Routes!$D$18:$G$18,FAQs!$D28)&gt;0)))),"●","")</f>
        <v/>
      </c>
      <c r="T28" s="12" t="str">
        <f aca="false">IF(OR(ISNUMBER(SEARCH(","&amp;T$1&amp;",",","&amp;SUBSTITUTE(FAQs!$G28," ","")&amp;",")),AND(OR(FAQs!$E28="both",Routes!$C$19="both",FAQs!$E28=Routes!$C$19),OR(Routes!$D$19="ALL",COUNTIF(Routes!$D$19:$G$19,FAQs!$C28)&gt;0,AND(FAQs!$D28&lt;&gt;"",COUNTIF(Routes!$D$19:$G$19,FAQs!$D28)&gt;0)))),"●","")</f>
        <v/>
      </c>
      <c r="U28" s="9" t="n">
        <f aca="false">COUNTIF(C28:T28,"●")</f>
        <v>3</v>
      </c>
    </row>
    <row r="29" customFormat="false" ht="15" hidden="false" customHeight="false" outlineLevel="0" collapsed="false">
      <c r="A29" s="9" t="str">
        <f aca="false">FAQs!A29</f>
        <v>F28</v>
      </c>
      <c r="B29" s="9" t="str">
        <f aca="false">FAQs!H29</f>
        <v>Who can use the gym?</v>
      </c>
      <c r="C29" s="12" t="str">
        <f aca="false">IF(OR(ISNUMBER(SEARCH(","&amp;C$1&amp;",",","&amp;SUBSTITUTE(FAQs!$G29," ","")&amp;",")),AND(OR(FAQs!$E29="both",Routes!$C$2="both",FAQs!$E29=Routes!$C$2),OR(Routes!$D$2="ALL",COUNTIF(Routes!$D$2:$G$2,FAQs!$C29)&gt;0,AND(FAQs!$D29&lt;&gt;"",COUNTIF(Routes!$D$2:$G$2,FAQs!$D29)&gt;0)))),"●","")</f>
        <v/>
      </c>
      <c r="D29" s="12" t="str">
        <f aca="false">IF(OR(ISNUMBER(SEARCH(","&amp;D$1&amp;",",","&amp;SUBSTITUTE(FAQs!$G29," ","")&amp;",")),AND(OR(FAQs!$E29="both",Routes!$C$3="both",FAQs!$E29=Routes!$C$3),OR(Routes!$D$3="ALL",COUNTIF(Routes!$D$3:$G$3,FAQs!$C29)&gt;0,AND(FAQs!$D29&lt;&gt;"",COUNTIF(Routes!$D$3:$G$3,FAQs!$D29)&gt;0)))),"●","")</f>
        <v/>
      </c>
      <c r="E29" s="12" t="str">
        <f aca="false">IF(OR(ISNUMBER(SEARCH(","&amp;E$1&amp;",",","&amp;SUBSTITUTE(FAQs!$G29," ","")&amp;",")),AND(OR(FAQs!$E29="both",Routes!$C$4="both",FAQs!$E29=Routes!$C$4),OR(Routes!$D$4="ALL",COUNTIF(Routes!$D$4:$G$4,FAQs!$C29)&gt;0,AND(FAQs!$D29&lt;&gt;"",COUNTIF(Routes!$D$4:$G$4,FAQs!$D29)&gt;0)))),"●","")</f>
        <v/>
      </c>
      <c r="F29" s="12" t="str">
        <f aca="false">IF(OR(ISNUMBER(SEARCH(","&amp;F$1&amp;",",","&amp;SUBSTITUTE(FAQs!$G29," ","")&amp;",")),AND(OR(FAQs!$E29="both",Routes!$C$5="both",FAQs!$E29=Routes!$C$5),OR(Routes!$D$5="ALL",COUNTIF(Routes!$D$5:$G$5,FAQs!$C29)&gt;0,AND(FAQs!$D29&lt;&gt;"",COUNTIF(Routes!$D$5:$G$5,FAQs!$D29)&gt;0)))),"●","")</f>
        <v/>
      </c>
      <c r="G29" s="12" t="str">
        <f aca="false">IF(OR(ISNUMBER(SEARCH(","&amp;G$1&amp;",",","&amp;SUBSTITUTE(FAQs!$G29," ","")&amp;",")),AND(OR(FAQs!$E29="both",Routes!$C$6="both",FAQs!$E29=Routes!$C$6),OR(Routes!$D$6="ALL",COUNTIF(Routes!$D$6:$G$6,FAQs!$C29)&gt;0,AND(FAQs!$D29&lt;&gt;"",COUNTIF(Routes!$D$6:$G$6,FAQs!$D29)&gt;0)))),"●","")</f>
        <v>●</v>
      </c>
      <c r="H29" s="12" t="str">
        <f aca="false">IF(OR(ISNUMBER(SEARCH(","&amp;H$1&amp;",",","&amp;SUBSTITUTE(FAQs!$G29," ","")&amp;",")),AND(OR(FAQs!$E29="both",Routes!$C$7="both",FAQs!$E29=Routes!$C$7),OR(Routes!$D$7="ALL",COUNTIF(Routes!$D$7:$G$7,FAQs!$C29)&gt;0,AND(FAQs!$D29&lt;&gt;"",COUNTIF(Routes!$D$7:$G$7,FAQs!$D29)&gt;0)))),"●","")</f>
        <v/>
      </c>
      <c r="I29" s="12" t="str">
        <f aca="false">IF(OR(ISNUMBER(SEARCH(","&amp;I$1&amp;",",","&amp;SUBSTITUTE(FAQs!$G29," ","")&amp;",")),AND(OR(FAQs!$E29="both",Routes!$C$8="both",FAQs!$E29=Routes!$C$8),OR(Routes!$D$8="ALL",COUNTIF(Routes!$D$8:$G$8,FAQs!$C29)&gt;0,AND(FAQs!$D29&lt;&gt;"",COUNTIF(Routes!$D$8:$G$8,FAQs!$D29)&gt;0)))),"●","")</f>
        <v/>
      </c>
      <c r="J29" s="12" t="str">
        <f aca="false">IF(OR(ISNUMBER(SEARCH(","&amp;J$1&amp;",",","&amp;SUBSTITUTE(FAQs!$G29," ","")&amp;",")),AND(OR(FAQs!$E29="both",Routes!$C$9="both",FAQs!$E29=Routes!$C$9),OR(Routes!$D$9="ALL",COUNTIF(Routes!$D$9:$G$9,FAQs!$C29)&gt;0,AND(FAQs!$D29&lt;&gt;"",COUNTIF(Routes!$D$9:$G$9,FAQs!$D29)&gt;0)))),"●","")</f>
        <v/>
      </c>
      <c r="K29" s="12" t="str">
        <f aca="false">IF(OR(ISNUMBER(SEARCH(","&amp;K$1&amp;",",","&amp;SUBSTITUTE(FAQs!$G29," ","")&amp;",")),AND(OR(FAQs!$E29="both",Routes!$C$10="both",FAQs!$E29=Routes!$C$10),OR(Routes!$D$10="ALL",COUNTIF(Routes!$D$10:$G$10,FAQs!$C29)&gt;0,AND(FAQs!$D29&lt;&gt;"",COUNTIF(Routes!$D$10:$G$10,FAQs!$D29)&gt;0)))),"●","")</f>
        <v>●</v>
      </c>
      <c r="L29" s="12" t="str">
        <f aca="false">IF(OR(ISNUMBER(SEARCH(","&amp;L$1&amp;",",","&amp;SUBSTITUTE(FAQs!$G29," ","")&amp;",")),AND(OR(FAQs!$E29="both",Routes!$C$11="both",FAQs!$E29=Routes!$C$11),OR(Routes!$D$11="ALL",COUNTIF(Routes!$D$11:$G$11,FAQs!$C29)&gt;0,AND(FAQs!$D29&lt;&gt;"",COUNTIF(Routes!$D$11:$G$11,FAQs!$D29)&gt;0)))),"●","")</f>
        <v>●</v>
      </c>
      <c r="M29" s="12" t="str">
        <f aca="false">IF(OR(ISNUMBER(SEARCH(","&amp;M$1&amp;",",","&amp;SUBSTITUTE(FAQs!$G29," ","")&amp;",")),AND(OR(FAQs!$E29="both",Routes!$C$12="both",FAQs!$E29=Routes!$C$12),OR(Routes!$D$12="ALL",COUNTIF(Routes!$D$12:$G$12,FAQs!$C29)&gt;0,AND(FAQs!$D29&lt;&gt;"",COUNTIF(Routes!$D$12:$G$12,FAQs!$D29)&gt;0)))),"●","")</f>
        <v/>
      </c>
      <c r="N29" s="12" t="str">
        <f aca="false">IF(OR(ISNUMBER(SEARCH(","&amp;N$1&amp;",",","&amp;SUBSTITUTE(FAQs!$G29," ","")&amp;",")),AND(OR(FAQs!$E29="both",Routes!$C$13="both",FAQs!$E29=Routes!$C$13),OR(Routes!$D$13="ALL",COUNTIF(Routes!$D$13:$G$13,FAQs!$C29)&gt;0,AND(FAQs!$D29&lt;&gt;"",COUNTIF(Routes!$D$13:$G$13,FAQs!$D29)&gt;0)))),"●","")</f>
        <v/>
      </c>
      <c r="O29" s="12" t="str">
        <f aca="false">IF(OR(ISNUMBER(SEARCH(","&amp;O$1&amp;",",","&amp;SUBSTITUTE(FAQs!$G29," ","")&amp;",")),AND(OR(FAQs!$E29="both",Routes!$C$14="both",FAQs!$E29=Routes!$C$14),OR(Routes!$D$14="ALL",COUNTIF(Routes!$D$14:$G$14,FAQs!$C29)&gt;0,AND(FAQs!$D29&lt;&gt;"",COUNTIF(Routes!$D$14:$G$14,FAQs!$D29)&gt;0)))),"●","")</f>
        <v>●</v>
      </c>
      <c r="P29" s="12" t="str">
        <f aca="false">IF(OR(ISNUMBER(SEARCH(","&amp;P$1&amp;",",","&amp;SUBSTITUTE(FAQs!$G29," ","")&amp;",")),AND(OR(FAQs!$E29="both",Routes!$C$15="both",FAQs!$E29=Routes!$C$15),OR(Routes!$D$15="ALL",COUNTIF(Routes!$D$15:$G$15,FAQs!$C29)&gt;0,AND(FAQs!$D29&lt;&gt;"",COUNTIF(Routes!$D$15:$G$15,FAQs!$D29)&gt;0)))),"●","")</f>
        <v/>
      </c>
      <c r="Q29" s="12" t="str">
        <f aca="false">IF(OR(ISNUMBER(SEARCH(","&amp;Q$1&amp;",",","&amp;SUBSTITUTE(FAQs!$G29," ","")&amp;",")),AND(OR(FAQs!$E29="both",Routes!$C$16="both",FAQs!$E29=Routes!$C$16),OR(Routes!$D$16="ALL",COUNTIF(Routes!$D$16:$G$16,FAQs!$C29)&gt;0,AND(FAQs!$D29&lt;&gt;"",COUNTIF(Routes!$D$16:$G$16,FAQs!$D29)&gt;0)))),"●","")</f>
        <v/>
      </c>
      <c r="R29" s="12" t="str">
        <f aca="false">IF(OR(ISNUMBER(SEARCH(","&amp;R$1&amp;",",","&amp;SUBSTITUTE(FAQs!$G29," ","")&amp;",")),AND(OR(FAQs!$E29="both",Routes!$C$17="both",FAQs!$E29=Routes!$C$17),OR(Routes!$D$17="ALL",COUNTIF(Routes!$D$17:$G$17,FAQs!$C29)&gt;0,AND(FAQs!$D29&lt;&gt;"",COUNTIF(Routes!$D$17:$G$17,FAQs!$D29)&gt;0)))),"●","")</f>
        <v/>
      </c>
      <c r="S29" s="12" t="str">
        <f aca="false">IF(OR(ISNUMBER(SEARCH(","&amp;S$1&amp;",",","&amp;SUBSTITUTE(FAQs!$G29," ","")&amp;",")),AND(OR(FAQs!$E29="both",Routes!$C$18="both",FAQs!$E29=Routes!$C$18),OR(Routes!$D$18="ALL",COUNTIF(Routes!$D$18:$G$18,FAQs!$C29)&gt;0,AND(FAQs!$D29&lt;&gt;"",COUNTIF(Routes!$D$18:$G$18,FAQs!$D29)&gt;0)))),"●","")</f>
        <v/>
      </c>
      <c r="T29" s="12" t="str">
        <f aca="false">IF(OR(ISNUMBER(SEARCH(","&amp;T$1&amp;",",","&amp;SUBSTITUTE(FAQs!$G29," ","")&amp;",")),AND(OR(FAQs!$E29="both",Routes!$C$19="both",FAQs!$E29=Routes!$C$19),OR(Routes!$D$19="ALL",COUNTIF(Routes!$D$19:$G$19,FAQs!$C29)&gt;0,AND(FAQs!$D29&lt;&gt;"",COUNTIF(Routes!$D$19:$G$19,FAQs!$D29)&gt;0)))),"●","")</f>
        <v/>
      </c>
      <c r="U29" s="9" t="n">
        <f aca="false">COUNTIF(C29:T29,"●")</f>
        <v>4</v>
      </c>
    </row>
    <row r="30" customFormat="false" ht="15" hidden="false" customHeight="false" outlineLevel="0" collapsed="false">
      <c r="A30" s="9" t="str">
        <f aca="false">FAQs!A30</f>
        <v>F29</v>
      </c>
      <c r="B30" s="9" t="str">
        <f aca="false">FAQs!H30</f>
        <v>Is there still a fingerboard park?</v>
      </c>
      <c r="C30" s="12" t="str">
        <f aca="false">IF(OR(ISNUMBER(SEARCH(","&amp;C$1&amp;",",","&amp;SUBSTITUTE(FAQs!$G30," ","")&amp;",")),AND(OR(FAQs!$E30="both",Routes!$C$2="both",FAQs!$E30=Routes!$C$2),OR(Routes!$D$2="ALL",COUNTIF(Routes!$D$2:$G$2,FAQs!$C30)&gt;0,AND(FAQs!$D30&lt;&gt;"",COUNTIF(Routes!$D$2:$G$2,FAQs!$D30)&gt;0)))),"●","")</f>
        <v/>
      </c>
      <c r="D30" s="12" t="str">
        <f aca="false">IF(OR(ISNUMBER(SEARCH(","&amp;D$1&amp;",",","&amp;SUBSTITUTE(FAQs!$G30," ","")&amp;",")),AND(OR(FAQs!$E30="both",Routes!$C$3="both",FAQs!$E30=Routes!$C$3),OR(Routes!$D$3="ALL",COUNTIF(Routes!$D$3:$G$3,FAQs!$C30)&gt;0,AND(FAQs!$D30&lt;&gt;"",COUNTIF(Routes!$D$3:$G$3,FAQs!$D30)&gt;0)))),"●","")</f>
        <v/>
      </c>
      <c r="E30" s="12" t="str">
        <f aca="false">IF(OR(ISNUMBER(SEARCH(","&amp;E$1&amp;",",","&amp;SUBSTITUTE(FAQs!$G30," ","")&amp;",")),AND(OR(FAQs!$E30="both",Routes!$C$4="both",FAQs!$E30=Routes!$C$4),OR(Routes!$D$4="ALL",COUNTIF(Routes!$D$4:$G$4,FAQs!$C30)&gt;0,AND(FAQs!$D30&lt;&gt;"",COUNTIF(Routes!$D$4:$G$4,FAQs!$D30)&gt;0)))),"●","")</f>
        <v/>
      </c>
      <c r="F30" s="12" t="str">
        <f aca="false">IF(OR(ISNUMBER(SEARCH(","&amp;F$1&amp;",",","&amp;SUBSTITUTE(FAQs!$G30," ","")&amp;",")),AND(OR(FAQs!$E30="both",Routes!$C$5="both",FAQs!$E30=Routes!$C$5),OR(Routes!$D$5="ALL",COUNTIF(Routes!$D$5:$G$5,FAQs!$C30)&gt;0,AND(FAQs!$D30&lt;&gt;"",COUNTIF(Routes!$D$5:$G$5,FAQs!$D30)&gt;0)))),"●","")</f>
        <v/>
      </c>
      <c r="G30" s="12" t="str">
        <f aca="false">IF(OR(ISNUMBER(SEARCH(","&amp;G$1&amp;",",","&amp;SUBSTITUTE(FAQs!$G30," ","")&amp;",")),AND(OR(FAQs!$E30="both",Routes!$C$6="both",FAQs!$E30=Routes!$C$6),OR(Routes!$D$6="ALL",COUNTIF(Routes!$D$6:$G$6,FAQs!$C30)&gt;0,AND(FAQs!$D30&lt;&gt;"",COUNTIF(Routes!$D$6:$G$6,FAQs!$D30)&gt;0)))),"●","")</f>
        <v>●</v>
      </c>
      <c r="H30" s="12" t="str">
        <f aca="false">IF(OR(ISNUMBER(SEARCH(","&amp;H$1&amp;",",","&amp;SUBSTITUTE(FAQs!$G30," ","")&amp;",")),AND(OR(FAQs!$E30="both",Routes!$C$7="both",FAQs!$E30=Routes!$C$7),OR(Routes!$D$7="ALL",COUNTIF(Routes!$D$7:$G$7,FAQs!$C30)&gt;0,AND(FAQs!$D30&lt;&gt;"",COUNTIF(Routes!$D$7:$G$7,FAQs!$D30)&gt;0)))),"●","")</f>
        <v/>
      </c>
      <c r="I30" s="12" t="str">
        <f aca="false">IF(OR(ISNUMBER(SEARCH(","&amp;I$1&amp;",",","&amp;SUBSTITUTE(FAQs!$G30," ","")&amp;",")),AND(OR(FAQs!$E30="both",Routes!$C$8="both",FAQs!$E30=Routes!$C$8),OR(Routes!$D$8="ALL",COUNTIF(Routes!$D$8:$G$8,FAQs!$C30)&gt;0,AND(FAQs!$D30&lt;&gt;"",COUNTIF(Routes!$D$8:$G$8,FAQs!$D30)&gt;0)))),"●","")</f>
        <v/>
      </c>
      <c r="J30" s="12" t="str">
        <f aca="false">IF(OR(ISNUMBER(SEARCH(","&amp;J$1&amp;",",","&amp;SUBSTITUTE(FAQs!$G30," ","")&amp;",")),AND(OR(FAQs!$E30="both",Routes!$C$9="both",FAQs!$E30=Routes!$C$9),OR(Routes!$D$9="ALL",COUNTIF(Routes!$D$9:$G$9,FAQs!$C30)&gt;0,AND(FAQs!$D30&lt;&gt;"",COUNTIF(Routes!$D$9:$G$9,FAQs!$D30)&gt;0)))),"●","")</f>
        <v/>
      </c>
      <c r="K30" s="12" t="str">
        <f aca="false">IF(OR(ISNUMBER(SEARCH(","&amp;K$1&amp;",",","&amp;SUBSTITUTE(FAQs!$G30," ","")&amp;",")),AND(OR(FAQs!$E30="both",Routes!$C$10="both",FAQs!$E30=Routes!$C$10),OR(Routes!$D$10="ALL",COUNTIF(Routes!$D$10:$G$10,FAQs!$C30)&gt;0,AND(FAQs!$D30&lt;&gt;"",COUNTIF(Routes!$D$10:$G$10,FAQs!$D30)&gt;0)))),"●","")</f>
        <v>●</v>
      </c>
      <c r="L30" s="12" t="str">
        <f aca="false">IF(OR(ISNUMBER(SEARCH(","&amp;L$1&amp;",",","&amp;SUBSTITUTE(FAQs!$G30," ","")&amp;",")),AND(OR(FAQs!$E30="both",Routes!$C$11="both",FAQs!$E30=Routes!$C$11),OR(Routes!$D$11="ALL",COUNTIF(Routes!$D$11:$G$11,FAQs!$C30)&gt;0,AND(FAQs!$D30&lt;&gt;"",COUNTIF(Routes!$D$11:$G$11,FAQs!$D30)&gt;0)))),"●","")</f>
        <v/>
      </c>
      <c r="M30" s="12" t="str">
        <f aca="false">IF(OR(ISNUMBER(SEARCH(","&amp;M$1&amp;",",","&amp;SUBSTITUTE(FAQs!$G30," ","")&amp;",")),AND(OR(FAQs!$E30="both",Routes!$C$12="both",FAQs!$E30=Routes!$C$12),OR(Routes!$D$12="ALL",COUNTIF(Routes!$D$12:$G$12,FAQs!$C30)&gt;0,AND(FAQs!$D30&lt;&gt;"",COUNTIF(Routes!$D$12:$G$12,FAQs!$D30)&gt;0)))),"●","")</f>
        <v/>
      </c>
      <c r="N30" s="12" t="str">
        <f aca="false">IF(OR(ISNUMBER(SEARCH(","&amp;N$1&amp;",",","&amp;SUBSTITUTE(FAQs!$G30," ","")&amp;",")),AND(OR(FAQs!$E30="both",Routes!$C$13="both",FAQs!$E30=Routes!$C$13),OR(Routes!$D$13="ALL",COUNTIF(Routes!$D$13:$G$13,FAQs!$C30)&gt;0,AND(FAQs!$D30&lt;&gt;"",COUNTIF(Routes!$D$13:$G$13,FAQs!$D30)&gt;0)))),"●","")</f>
        <v/>
      </c>
      <c r="O30" s="12" t="str">
        <f aca="false">IF(OR(ISNUMBER(SEARCH(","&amp;O$1&amp;",",","&amp;SUBSTITUTE(FAQs!$G30," ","")&amp;",")),AND(OR(FAQs!$E30="both",Routes!$C$14="both",FAQs!$E30=Routes!$C$14),OR(Routes!$D$14="ALL",COUNTIF(Routes!$D$14:$G$14,FAQs!$C30)&gt;0,AND(FAQs!$D30&lt;&gt;"",COUNTIF(Routes!$D$14:$G$14,FAQs!$D30)&gt;0)))),"●","")</f>
        <v>●</v>
      </c>
      <c r="P30" s="12" t="str">
        <f aca="false">IF(OR(ISNUMBER(SEARCH(","&amp;P$1&amp;",",","&amp;SUBSTITUTE(FAQs!$G30," ","")&amp;",")),AND(OR(FAQs!$E30="both",Routes!$C$15="both",FAQs!$E30=Routes!$C$15),OR(Routes!$D$15="ALL",COUNTIF(Routes!$D$15:$G$15,FAQs!$C30)&gt;0,AND(FAQs!$D30&lt;&gt;"",COUNTIF(Routes!$D$15:$G$15,FAQs!$D30)&gt;0)))),"●","")</f>
        <v/>
      </c>
      <c r="Q30" s="12" t="str">
        <f aca="false">IF(OR(ISNUMBER(SEARCH(","&amp;Q$1&amp;",",","&amp;SUBSTITUTE(FAQs!$G30," ","")&amp;",")),AND(OR(FAQs!$E30="both",Routes!$C$16="both",FAQs!$E30=Routes!$C$16),OR(Routes!$D$16="ALL",COUNTIF(Routes!$D$16:$G$16,FAQs!$C30)&gt;0,AND(FAQs!$D30&lt;&gt;"",COUNTIF(Routes!$D$16:$G$16,FAQs!$D30)&gt;0)))),"●","")</f>
        <v/>
      </c>
      <c r="R30" s="12" t="str">
        <f aca="false">IF(OR(ISNUMBER(SEARCH(","&amp;R$1&amp;",",","&amp;SUBSTITUTE(FAQs!$G30," ","")&amp;",")),AND(OR(FAQs!$E30="both",Routes!$C$17="both",FAQs!$E30=Routes!$C$17),OR(Routes!$D$17="ALL",COUNTIF(Routes!$D$17:$G$17,FAQs!$C30)&gt;0,AND(FAQs!$D30&lt;&gt;"",COUNTIF(Routes!$D$17:$G$17,FAQs!$D30)&gt;0)))),"●","")</f>
        <v/>
      </c>
      <c r="S30" s="12" t="str">
        <f aca="false">IF(OR(ISNUMBER(SEARCH(","&amp;S$1&amp;",",","&amp;SUBSTITUTE(FAQs!$G30," ","")&amp;",")),AND(OR(FAQs!$E30="both",Routes!$C$18="both",FAQs!$E30=Routes!$C$18),OR(Routes!$D$18="ALL",COUNTIF(Routes!$D$18:$G$18,FAQs!$C30)&gt;0,AND(FAQs!$D30&lt;&gt;"",COUNTIF(Routes!$D$18:$G$18,FAQs!$D30)&gt;0)))),"●","")</f>
        <v/>
      </c>
      <c r="T30" s="12" t="str">
        <f aca="false">IF(OR(ISNUMBER(SEARCH(","&amp;T$1&amp;",",","&amp;SUBSTITUTE(FAQs!$G30," ","")&amp;",")),AND(OR(FAQs!$E30="both",Routes!$C$19="both",FAQs!$E30=Routes!$C$19),OR(Routes!$D$19="ALL",COUNTIF(Routes!$D$19:$G$19,FAQs!$C30)&gt;0,AND(FAQs!$D30&lt;&gt;"",COUNTIF(Routes!$D$19:$G$19,FAQs!$D30)&gt;0)))),"●","")</f>
        <v/>
      </c>
      <c r="U30" s="9" t="n">
        <f aca="false">COUNTIF(C30:T30,"●")</f>
        <v>3</v>
      </c>
    </row>
    <row r="31" customFormat="false" ht="15" hidden="false" customHeight="false" outlineLevel="0" collapsed="false">
      <c r="A31" s="9" t="str">
        <f aca="false">FAQs!A31</f>
        <v>F30</v>
      </c>
      <c r="B31" s="9" t="str">
        <f aca="false">FAQs!H31</f>
        <v>Can I store my own bike at the hotel?</v>
      </c>
      <c r="C31" s="12" t="str">
        <f aca="false">IF(OR(ISNUMBER(SEARCH(","&amp;C$1&amp;",",","&amp;SUBSTITUTE(FAQs!$G31," ","")&amp;",")),AND(OR(FAQs!$E31="both",Routes!$C$2="both",FAQs!$E31=Routes!$C$2),OR(Routes!$D$2="ALL",COUNTIF(Routes!$D$2:$G$2,FAQs!$C31)&gt;0,AND(FAQs!$D31&lt;&gt;"",COUNTIF(Routes!$D$2:$G$2,FAQs!$D31)&gt;0)))),"●","")</f>
        <v/>
      </c>
      <c r="D31" s="12" t="str">
        <f aca="false">IF(OR(ISNUMBER(SEARCH(","&amp;D$1&amp;",",","&amp;SUBSTITUTE(FAQs!$G31," ","")&amp;",")),AND(OR(FAQs!$E31="both",Routes!$C$3="both",FAQs!$E31=Routes!$C$3),OR(Routes!$D$3="ALL",COUNTIF(Routes!$D$3:$G$3,FAQs!$C31)&gt;0,AND(FAQs!$D31&lt;&gt;"",COUNTIF(Routes!$D$3:$G$3,FAQs!$D31)&gt;0)))),"●","")</f>
        <v/>
      </c>
      <c r="E31" s="12" t="str">
        <f aca="false">IF(OR(ISNUMBER(SEARCH(","&amp;E$1&amp;",",","&amp;SUBSTITUTE(FAQs!$G31," ","")&amp;",")),AND(OR(FAQs!$E31="both",Routes!$C$4="both",FAQs!$E31=Routes!$C$4),OR(Routes!$D$4="ALL",COUNTIF(Routes!$D$4:$G$4,FAQs!$C31)&gt;0,AND(FAQs!$D31&lt;&gt;"",COUNTIF(Routes!$D$4:$G$4,FAQs!$D31)&gt;0)))),"●","")</f>
        <v/>
      </c>
      <c r="F31" s="12" t="str">
        <f aca="false">IF(OR(ISNUMBER(SEARCH(","&amp;F$1&amp;",",","&amp;SUBSTITUTE(FAQs!$G31," ","")&amp;",")),AND(OR(FAQs!$E31="both",Routes!$C$5="both",FAQs!$E31=Routes!$C$5),OR(Routes!$D$5="ALL",COUNTIF(Routes!$D$5:$G$5,FAQs!$C31)&gt;0,AND(FAQs!$D31&lt;&gt;"",COUNTIF(Routes!$D$5:$G$5,FAQs!$D31)&gt;0)))),"●","")</f>
        <v/>
      </c>
      <c r="G31" s="12" t="str">
        <f aca="false">IF(OR(ISNUMBER(SEARCH(","&amp;G$1&amp;",",","&amp;SUBSTITUTE(FAQs!$G31," ","")&amp;",")),AND(OR(FAQs!$E31="both",Routes!$C$6="both",FAQs!$E31=Routes!$C$6),OR(Routes!$D$6="ALL",COUNTIF(Routes!$D$6:$G$6,FAQs!$C31)&gt;0,AND(FAQs!$D31&lt;&gt;"",COUNTIF(Routes!$D$6:$G$6,FAQs!$D31)&gt;0)))),"●","")</f>
        <v>●</v>
      </c>
      <c r="H31" s="12" t="str">
        <f aca="false">IF(OR(ISNUMBER(SEARCH(","&amp;H$1&amp;",",","&amp;SUBSTITUTE(FAQs!$G31," ","")&amp;",")),AND(OR(FAQs!$E31="both",Routes!$C$7="both",FAQs!$E31=Routes!$C$7),OR(Routes!$D$7="ALL",COUNTIF(Routes!$D$7:$G$7,FAQs!$C31)&gt;0,AND(FAQs!$D31&lt;&gt;"",COUNTIF(Routes!$D$7:$G$7,FAQs!$D31)&gt;0)))),"●","")</f>
        <v/>
      </c>
      <c r="I31" s="12" t="str">
        <f aca="false">IF(OR(ISNUMBER(SEARCH(","&amp;I$1&amp;",",","&amp;SUBSTITUTE(FAQs!$G31," ","")&amp;",")),AND(OR(FAQs!$E31="both",Routes!$C$8="both",FAQs!$E31=Routes!$C$8),OR(Routes!$D$8="ALL",COUNTIF(Routes!$D$8:$G$8,FAQs!$C31)&gt;0,AND(FAQs!$D31&lt;&gt;"",COUNTIF(Routes!$D$8:$G$8,FAQs!$D31)&gt;0)))),"●","")</f>
        <v/>
      </c>
      <c r="J31" s="12" t="str">
        <f aca="false">IF(OR(ISNUMBER(SEARCH(","&amp;J$1&amp;",",","&amp;SUBSTITUTE(FAQs!$G31," ","")&amp;",")),AND(OR(FAQs!$E31="both",Routes!$C$9="both",FAQs!$E31=Routes!$C$9),OR(Routes!$D$9="ALL",COUNTIF(Routes!$D$9:$G$9,FAQs!$C31)&gt;0,AND(FAQs!$D31&lt;&gt;"",COUNTIF(Routes!$D$9:$G$9,FAQs!$D31)&gt;0)))),"●","")</f>
        <v/>
      </c>
      <c r="K31" s="12" t="str">
        <f aca="false">IF(OR(ISNUMBER(SEARCH(","&amp;K$1&amp;",",","&amp;SUBSTITUTE(FAQs!$G31," ","")&amp;",")),AND(OR(FAQs!$E31="both",Routes!$C$10="both",FAQs!$E31=Routes!$C$10),OR(Routes!$D$10="ALL",COUNTIF(Routes!$D$10:$G$10,FAQs!$C31)&gt;0,AND(FAQs!$D31&lt;&gt;"",COUNTIF(Routes!$D$10:$G$10,FAQs!$D31)&gt;0)))),"●","")</f>
        <v>●</v>
      </c>
      <c r="L31" s="12" t="str">
        <f aca="false">IF(OR(ISNUMBER(SEARCH(","&amp;L$1&amp;",",","&amp;SUBSTITUTE(FAQs!$G31," ","")&amp;",")),AND(OR(FAQs!$E31="both",Routes!$C$11="both",FAQs!$E31=Routes!$C$11),OR(Routes!$D$11="ALL",COUNTIF(Routes!$D$11:$G$11,FAQs!$C31)&gt;0,AND(FAQs!$D31&lt;&gt;"",COUNTIF(Routes!$D$11:$G$11,FAQs!$D31)&gt;0)))),"●","")</f>
        <v/>
      </c>
      <c r="M31" s="12" t="str">
        <f aca="false">IF(OR(ISNUMBER(SEARCH(","&amp;M$1&amp;",",","&amp;SUBSTITUTE(FAQs!$G31," ","")&amp;",")),AND(OR(FAQs!$E31="both",Routes!$C$12="both",FAQs!$E31=Routes!$C$12),OR(Routes!$D$12="ALL",COUNTIF(Routes!$D$12:$G$12,FAQs!$C31)&gt;0,AND(FAQs!$D31&lt;&gt;"",COUNTIF(Routes!$D$12:$G$12,FAQs!$D31)&gt;0)))),"●","")</f>
        <v/>
      </c>
      <c r="N31" s="12" t="str">
        <f aca="false">IF(OR(ISNUMBER(SEARCH(","&amp;N$1&amp;",",","&amp;SUBSTITUTE(FAQs!$G31," ","")&amp;",")),AND(OR(FAQs!$E31="both",Routes!$C$13="both",FAQs!$E31=Routes!$C$13),OR(Routes!$D$13="ALL",COUNTIF(Routes!$D$13:$G$13,FAQs!$C31)&gt;0,AND(FAQs!$D31&lt;&gt;"",COUNTIF(Routes!$D$13:$G$13,FAQs!$D31)&gt;0)))),"●","")</f>
        <v>●</v>
      </c>
      <c r="O31" s="12" t="str">
        <f aca="false">IF(OR(ISNUMBER(SEARCH(","&amp;O$1&amp;",",","&amp;SUBSTITUTE(FAQs!$G31," ","")&amp;",")),AND(OR(FAQs!$E31="both",Routes!$C$14="both",FAQs!$E31=Routes!$C$14),OR(Routes!$D$14="ALL",COUNTIF(Routes!$D$14:$G$14,FAQs!$C31)&gt;0,AND(FAQs!$D31&lt;&gt;"",COUNTIF(Routes!$D$14:$G$14,FAQs!$D31)&gt;0)))),"●","")</f>
        <v>●</v>
      </c>
      <c r="P31" s="12" t="str">
        <f aca="false">IF(OR(ISNUMBER(SEARCH(","&amp;P$1&amp;",",","&amp;SUBSTITUTE(FAQs!$G31," ","")&amp;",")),AND(OR(FAQs!$E31="both",Routes!$C$15="both",FAQs!$E31=Routes!$C$15),OR(Routes!$D$15="ALL",COUNTIF(Routes!$D$15:$G$15,FAQs!$C31)&gt;0,AND(FAQs!$D31&lt;&gt;"",COUNTIF(Routes!$D$15:$G$15,FAQs!$D31)&gt;0)))),"●","")</f>
        <v/>
      </c>
      <c r="Q31" s="12" t="str">
        <f aca="false">IF(OR(ISNUMBER(SEARCH(","&amp;Q$1&amp;",",","&amp;SUBSTITUTE(FAQs!$G31," ","")&amp;",")),AND(OR(FAQs!$E31="both",Routes!$C$16="both",FAQs!$E31=Routes!$C$16),OR(Routes!$D$16="ALL",COUNTIF(Routes!$D$16:$G$16,FAQs!$C31)&gt;0,AND(FAQs!$D31&lt;&gt;"",COUNTIF(Routes!$D$16:$G$16,FAQs!$D31)&gt;0)))),"●","")</f>
        <v/>
      </c>
      <c r="R31" s="12" t="str">
        <f aca="false">IF(OR(ISNUMBER(SEARCH(","&amp;R$1&amp;",",","&amp;SUBSTITUTE(FAQs!$G31," ","")&amp;",")),AND(OR(FAQs!$E31="both",Routes!$C$17="both",FAQs!$E31=Routes!$C$17),OR(Routes!$D$17="ALL",COUNTIF(Routes!$D$17:$G$17,FAQs!$C31)&gt;0,AND(FAQs!$D31&lt;&gt;"",COUNTIF(Routes!$D$17:$G$17,FAQs!$D31)&gt;0)))),"●","")</f>
        <v/>
      </c>
      <c r="S31" s="12" t="str">
        <f aca="false">IF(OR(ISNUMBER(SEARCH(","&amp;S$1&amp;",",","&amp;SUBSTITUTE(FAQs!$G31," ","")&amp;",")),AND(OR(FAQs!$E31="both",Routes!$C$18="both",FAQs!$E31=Routes!$C$18),OR(Routes!$D$18="ALL",COUNTIF(Routes!$D$18:$G$18,FAQs!$C31)&gt;0,AND(FAQs!$D31&lt;&gt;"",COUNTIF(Routes!$D$18:$G$18,FAQs!$D31)&gt;0)))),"●","")</f>
        <v/>
      </c>
      <c r="T31" s="12" t="str">
        <f aca="false">IF(OR(ISNUMBER(SEARCH(","&amp;T$1&amp;",",","&amp;SUBSTITUTE(FAQs!$G31," ","")&amp;",")),AND(OR(FAQs!$E31="both",Routes!$C$19="both",FAQs!$E31=Routes!$C$19),OR(Routes!$D$19="ALL",COUNTIF(Routes!$D$19:$G$19,FAQs!$C31)&gt;0,AND(FAQs!$D31&lt;&gt;"",COUNTIF(Routes!$D$19:$G$19,FAQs!$D31)&gt;0)))),"●","")</f>
        <v/>
      </c>
      <c r="U31" s="9" t="n">
        <f aca="false">COUNTIF(C31:T31,"●")</f>
        <v>4</v>
      </c>
    </row>
    <row r="32" customFormat="false" ht="15" hidden="false" customHeight="false" outlineLevel="0" collapsed="false">
      <c r="A32" s="9" t="str">
        <f aca="false">FAQs!A32</f>
        <v>F31</v>
      </c>
      <c r="B32" s="9" t="str">
        <f aca="false">FAQs!H32</f>
        <v>Can I rent a bike?</v>
      </c>
      <c r="C32" s="12" t="str">
        <f aca="false">IF(OR(ISNUMBER(SEARCH(","&amp;C$1&amp;",",","&amp;SUBSTITUTE(FAQs!$G32," ","")&amp;",")),AND(OR(FAQs!$E32="both",Routes!$C$2="both",FAQs!$E32=Routes!$C$2),OR(Routes!$D$2="ALL",COUNTIF(Routes!$D$2:$G$2,FAQs!$C32)&gt;0,AND(FAQs!$D32&lt;&gt;"",COUNTIF(Routes!$D$2:$G$2,FAQs!$D32)&gt;0)))),"●","")</f>
        <v/>
      </c>
      <c r="D32" s="12" t="str">
        <f aca="false">IF(OR(ISNUMBER(SEARCH(","&amp;D$1&amp;",",","&amp;SUBSTITUTE(FAQs!$G32," ","")&amp;",")),AND(OR(FAQs!$E32="both",Routes!$C$3="both",FAQs!$E32=Routes!$C$3),OR(Routes!$D$3="ALL",COUNTIF(Routes!$D$3:$G$3,FAQs!$C32)&gt;0,AND(FAQs!$D32&lt;&gt;"",COUNTIF(Routes!$D$3:$G$3,FAQs!$D32)&gt;0)))),"●","")</f>
        <v/>
      </c>
      <c r="E32" s="12" t="str">
        <f aca="false">IF(OR(ISNUMBER(SEARCH(","&amp;E$1&amp;",",","&amp;SUBSTITUTE(FAQs!$G32," ","")&amp;",")),AND(OR(FAQs!$E32="both",Routes!$C$4="both",FAQs!$E32=Routes!$C$4),OR(Routes!$D$4="ALL",COUNTIF(Routes!$D$4:$G$4,FAQs!$C32)&gt;0,AND(FAQs!$D32&lt;&gt;"",COUNTIF(Routes!$D$4:$G$4,FAQs!$D32)&gt;0)))),"●","")</f>
        <v/>
      </c>
      <c r="F32" s="12" t="str">
        <f aca="false">IF(OR(ISNUMBER(SEARCH(","&amp;F$1&amp;",",","&amp;SUBSTITUTE(FAQs!$G32," ","")&amp;",")),AND(OR(FAQs!$E32="both",Routes!$C$5="both",FAQs!$E32=Routes!$C$5),OR(Routes!$D$5="ALL",COUNTIF(Routes!$D$5:$G$5,FAQs!$C32)&gt;0,AND(FAQs!$D32&lt;&gt;"",COUNTIF(Routes!$D$5:$G$5,FAQs!$D32)&gt;0)))),"●","")</f>
        <v/>
      </c>
      <c r="G32" s="12" t="str">
        <f aca="false">IF(OR(ISNUMBER(SEARCH(","&amp;G$1&amp;",",","&amp;SUBSTITUTE(FAQs!$G32," ","")&amp;",")),AND(OR(FAQs!$E32="both",Routes!$C$6="both",FAQs!$E32=Routes!$C$6),OR(Routes!$D$6="ALL",COUNTIF(Routes!$D$6:$G$6,FAQs!$C32)&gt;0,AND(FAQs!$D32&lt;&gt;"",COUNTIF(Routes!$D$6:$G$6,FAQs!$D32)&gt;0)))),"●","")</f>
        <v>●</v>
      </c>
      <c r="H32" s="12" t="str">
        <f aca="false">IF(OR(ISNUMBER(SEARCH(","&amp;H$1&amp;",",","&amp;SUBSTITUTE(FAQs!$G32," ","")&amp;",")),AND(OR(FAQs!$E32="both",Routes!$C$7="both",FAQs!$E32=Routes!$C$7),OR(Routes!$D$7="ALL",COUNTIF(Routes!$D$7:$G$7,FAQs!$C32)&gt;0,AND(FAQs!$D32&lt;&gt;"",COUNTIF(Routes!$D$7:$G$7,FAQs!$D32)&gt;0)))),"●","")</f>
        <v/>
      </c>
      <c r="I32" s="12" t="str">
        <f aca="false">IF(OR(ISNUMBER(SEARCH(","&amp;I$1&amp;",",","&amp;SUBSTITUTE(FAQs!$G32," ","")&amp;",")),AND(OR(FAQs!$E32="both",Routes!$C$8="both",FAQs!$E32=Routes!$C$8),OR(Routes!$D$8="ALL",COUNTIF(Routes!$D$8:$G$8,FAQs!$C32)&gt;0,AND(FAQs!$D32&lt;&gt;"",COUNTIF(Routes!$D$8:$G$8,FAQs!$D32)&gt;0)))),"●","")</f>
        <v/>
      </c>
      <c r="J32" s="12" t="str">
        <f aca="false">IF(OR(ISNUMBER(SEARCH(","&amp;J$1&amp;",",","&amp;SUBSTITUTE(FAQs!$G32," ","")&amp;",")),AND(OR(FAQs!$E32="both",Routes!$C$9="both",FAQs!$E32=Routes!$C$9),OR(Routes!$D$9="ALL",COUNTIF(Routes!$D$9:$G$9,FAQs!$C32)&gt;0,AND(FAQs!$D32&lt;&gt;"",COUNTIF(Routes!$D$9:$G$9,FAQs!$D32)&gt;0)))),"●","")</f>
        <v/>
      </c>
      <c r="K32" s="12" t="str">
        <f aca="false">IF(OR(ISNUMBER(SEARCH(","&amp;K$1&amp;",",","&amp;SUBSTITUTE(FAQs!$G32," ","")&amp;",")),AND(OR(FAQs!$E32="both",Routes!$C$10="both",FAQs!$E32=Routes!$C$10),OR(Routes!$D$10="ALL",COUNTIF(Routes!$D$10:$G$10,FAQs!$C32)&gt;0,AND(FAQs!$D32&lt;&gt;"",COUNTIF(Routes!$D$10:$G$10,FAQs!$D32)&gt;0)))),"●","")</f>
        <v>●</v>
      </c>
      <c r="L32" s="12" t="str">
        <f aca="false">IF(OR(ISNUMBER(SEARCH(","&amp;L$1&amp;",",","&amp;SUBSTITUTE(FAQs!$G32," ","")&amp;",")),AND(OR(FAQs!$E32="both",Routes!$C$11="both",FAQs!$E32=Routes!$C$11),OR(Routes!$D$11="ALL",COUNTIF(Routes!$D$11:$G$11,FAQs!$C32)&gt;0,AND(FAQs!$D32&lt;&gt;"",COUNTIF(Routes!$D$11:$G$11,FAQs!$D32)&gt;0)))),"●","")</f>
        <v/>
      </c>
      <c r="M32" s="12" t="str">
        <f aca="false">IF(OR(ISNUMBER(SEARCH(","&amp;M$1&amp;",",","&amp;SUBSTITUTE(FAQs!$G32," ","")&amp;",")),AND(OR(FAQs!$E32="both",Routes!$C$12="both",FAQs!$E32=Routes!$C$12),OR(Routes!$D$12="ALL",COUNTIF(Routes!$D$12:$G$12,FAQs!$C32)&gt;0,AND(FAQs!$D32&lt;&gt;"",COUNTIF(Routes!$D$12:$G$12,FAQs!$D32)&gt;0)))),"●","")</f>
        <v/>
      </c>
      <c r="N32" s="12" t="str">
        <f aca="false">IF(OR(ISNUMBER(SEARCH(","&amp;N$1&amp;",",","&amp;SUBSTITUTE(FAQs!$G32," ","")&amp;",")),AND(OR(FAQs!$E32="both",Routes!$C$13="both",FAQs!$E32=Routes!$C$13),OR(Routes!$D$13="ALL",COUNTIF(Routes!$D$13:$G$13,FAQs!$C32)&gt;0,AND(FAQs!$D32&lt;&gt;"",COUNTIF(Routes!$D$13:$G$13,FAQs!$D32)&gt;0)))),"●","")</f>
        <v>●</v>
      </c>
      <c r="O32" s="12" t="str">
        <f aca="false">IF(OR(ISNUMBER(SEARCH(","&amp;O$1&amp;",",","&amp;SUBSTITUTE(FAQs!$G32," ","")&amp;",")),AND(OR(FAQs!$E32="both",Routes!$C$14="both",FAQs!$E32=Routes!$C$14),OR(Routes!$D$14="ALL",COUNTIF(Routes!$D$14:$G$14,FAQs!$C32)&gt;0,AND(FAQs!$D32&lt;&gt;"",COUNTIF(Routes!$D$14:$G$14,FAQs!$D32)&gt;0)))),"●","")</f>
        <v>●</v>
      </c>
      <c r="P32" s="12" t="str">
        <f aca="false">IF(OR(ISNUMBER(SEARCH(","&amp;P$1&amp;",",","&amp;SUBSTITUTE(FAQs!$G32," ","")&amp;",")),AND(OR(FAQs!$E32="both",Routes!$C$15="both",FAQs!$E32=Routes!$C$15),OR(Routes!$D$15="ALL",COUNTIF(Routes!$D$15:$G$15,FAQs!$C32)&gt;0,AND(FAQs!$D32&lt;&gt;"",COUNTIF(Routes!$D$15:$G$15,FAQs!$D32)&gt;0)))),"●","")</f>
        <v/>
      </c>
      <c r="Q32" s="12" t="str">
        <f aca="false">IF(OR(ISNUMBER(SEARCH(","&amp;Q$1&amp;",",","&amp;SUBSTITUTE(FAQs!$G32," ","")&amp;",")),AND(OR(FAQs!$E32="both",Routes!$C$16="both",FAQs!$E32=Routes!$C$16),OR(Routes!$D$16="ALL",COUNTIF(Routes!$D$16:$G$16,FAQs!$C32)&gt;0,AND(FAQs!$D32&lt;&gt;"",COUNTIF(Routes!$D$16:$G$16,FAQs!$D32)&gt;0)))),"●","")</f>
        <v/>
      </c>
      <c r="R32" s="12" t="str">
        <f aca="false">IF(OR(ISNUMBER(SEARCH(","&amp;R$1&amp;",",","&amp;SUBSTITUTE(FAQs!$G32," ","")&amp;",")),AND(OR(FAQs!$E32="both",Routes!$C$17="both",FAQs!$E32=Routes!$C$17),OR(Routes!$D$17="ALL",COUNTIF(Routes!$D$17:$G$17,FAQs!$C32)&gt;0,AND(FAQs!$D32&lt;&gt;"",COUNTIF(Routes!$D$17:$G$17,FAQs!$D32)&gt;0)))),"●","")</f>
        <v/>
      </c>
      <c r="S32" s="12" t="str">
        <f aca="false">IF(OR(ISNUMBER(SEARCH(","&amp;S$1&amp;",",","&amp;SUBSTITUTE(FAQs!$G32," ","")&amp;",")),AND(OR(FAQs!$E32="both",Routes!$C$18="both",FAQs!$E32=Routes!$C$18),OR(Routes!$D$18="ALL",COUNTIF(Routes!$D$18:$G$18,FAQs!$C32)&gt;0,AND(FAQs!$D32&lt;&gt;"",COUNTIF(Routes!$D$18:$G$18,FAQs!$D32)&gt;0)))),"●","")</f>
        <v/>
      </c>
      <c r="T32" s="12" t="str">
        <f aca="false">IF(OR(ISNUMBER(SEARCH(","&amp;T$1&amp;",",","&amp;SUBSTITUTE(FAQs!$G32," ","")&amp;",")),AND(OR(FAQs!$E32="both",Routes!$C$19="both",FAQs!$E32=Routes!$C$19),OR(Routes!$D$19="ALL",COUNTIF(Routes!$D$19:$G$19,FAQs!$C32)&gt;0,AND(FAQs!$D32&lt;&gt;"",COUNTIF(Routes!$D$19:$G$19,FAQs!$D32)&gt;0)))),"●","")</f>
        <v/>
      </c>
      <c r="U32" s="9" t="n">
        <f aca="false">COUNTIF(C32:T32,"●")</f>
        <v>4</v>
      </c>
    </row>
    <row r="33" customFormat="false" ht="15" hidden="false" customHeight="false" outlineLevel="0" collapsed="false">
      <c r="A33" s="9" t="str">
        <f aca="false">FAQs!A33</f>
        <v>F32</v>
      </c>
      <c r="B33" s="9" t="str">
        <f aca="false">FAQs!H33</f>
        <v>Can I pay without a credit card?</v>
      </c>
      <c r="C33" s="12" t="str">
        <f aca="false">IF(OR(ISNUMBER(SEARCH(","&amp;C$1&amp;",",","&amp;SUBSTITUTE(FAQs!$G33," ","")&amp;",")),AND(OR(FAQs!$E33="both",Routes!$C$2="both",FAQs!$E33=Routes!$C$2),OR(Routes!$D$2="ALL",COUNTIF(Routes!$D$2:$G$2,FAQs!$C33)&gt;0,AND(FAQs!$D33&lt;&gt;"",COUNTIF(Routes!$D$2:$G$2,FAQs!$D33)&gt;0)))),"●","")</f>
        <v>●</v>
      </c>
      <c r="D33" s="12" t="str">
        <f aca="false">IF(OR(ISNUMBER(SEARCH(","&amp;D$1&amp;",",","&amp;SUBSTITUTE(FAQs!$G33," ","")&amp;",")),AND(OR(FAQs!$E33="both",Routes!$C$3="both",FAQs!$E33=Routes!$C$3),OR(Routes!$D$3="ALL",COUNTIF(Routes!$D$3:$G$3,FAQs!$C33)&gt;0,AND(FAQs!$D33&lt;&gt;"",COUNTIF(Routes!$D$3:$G$3,FAQs!$D33)&gt;0)))),"●","")</f>
        <v/>
      </c>
      <c r="E33" s="12" t="str">
        <f aca="false">IF(OR(ISNUMBER(SEARCH(","&amp;E$1&amp;",",","&amp;SUBSTITUTE(FAQs!$G33," ","")&amp;",")),AND(OR(FAQs!$E33="both",Routes!$C$4="both",FAQs!$E33=Routes!$C$4),OR(Routes!$D$4="ALL",COUNTIF(Routes!$D$4:$G$4,FAQs!$C33)&gt;0,AND(FAQs!$D33&lt;&gt;"",COUNTIF(Routes!$D$4:$G$4,FAQs!$D33)&gt;0)))),"●","")</f>
        <v/>
      </c>
      <c r="F33" s="12" t="str">
        <f aca="false">IF(OR(ISNUMBER(SEARCH(","&amp;F$1&amp;",",","&amp;SUBSTITUTE(FAQs!$G33," ","")&amp;",")),AND(OR(FAQs!$E33="both",Routes!$C$5="both",FAQs!$E33=Routes!$C$5),OR(Routes!$D$5="ALL",COUNTIF(Routes!$D$5:$G$5,FAQs!$C33)&gt;0,AND(FAQs!$D33&lt;&gt;"",COUNTIF(Routes!$D$5:$G$5,FAQs!$D33)&gt;0)))),"●","")</f>
        <v/>
      </c>
      <c r="G33" s="12" t="str">
        <f aca="false">IF(OR(ISNUMBER(SEARCH(","&amp;G$1&amp;",",","&amp;SUBSTITUTE(FAQs!$G33," ","")&amp;",")),AND(OR(FAQs!$E33="both",Routes!$C$6="both",FAQs!$E33=Routes!$C$6),OR(Routes!$D$6="ALL",COUNTIF(Routes!$D$6:$G$6,FAQs!$C33)&gt;0,AND(FAQs!$D33&lt;&gt;"",COUNTIF(Routes!$D$6:$G$6,FAQs!$D33)&gt;0)))),"●","")</f>
        <v/>
      </c>
      <c r="H33" s="12" t="str">
        <f aca="false">IF(OR(ISNUMBER(SEARCH(","&amp;H$1&amp;",",","&amp;SUBSTITUTE(FAQs!$G33," ","")&amp;",")),AND(OR(FAQs!$E33="both",Routes!$C$7="both",FAQs!$E33=Routes!$C$7),OR(Routes!$D$7="ALL",COUNTIF(Routes!$D$7:$G$7,FAQs!$C33)&gt;0,AND(FAQs!$D33&lt;&gt;"",COUNTIF(Routes!$D$7:$G$7,FAQs!$D33)&gt;0)))),"●","")</f>
        <v/>
      </c>
      <c r="I33" s="12" t="str">
        <f aca="false">IF(OR(ISNUMBER(SEARCH(","&amp;I$1&amp;",",","&amp;SUBSTITUTE(FAQs!$G33," ","")&amp;",")),AND(OR(FAQs!$E33="both",Routes!$C$8="both",FAQs!$E33=Routes!$C$8),OR(Routes!$D$8="ALL",COUNTIF(Routes!$D$8:$G$8,FAQs!$C33)&gt;0,AND(FAQs!$D33&lt;&gt;"",COUNTIF(Routes!$D$8:$G$8,FAQs!$D33)&gt;0)))),"●","")</f>
        <v/>
      </c>
      <c r="J33" s="12" t="str">
        <f aca="false">IF(OR(ISNUMBER(SEARCH(","&amp;J$1&amp;",",","&amp;SUBSTITUTE(FAQs!$G33," ","")&amp;",")),AND(OR(FAQs!$E33="both",Routes!$C$9="both",FAQs!$E33=Routes!$C$9),OR(Routes!$D$9="ALL",COUNTIF(Routes!$D$9:$G$9,FAQs!$C33)&gt;0,AND(FAQs!$D33&lt;&gt;"",COUNTIF(Routes!$D$9:$G$9,FAQs!$D33)&gt;0)))),"●","")</f>
        <v/>
      </c>
      <c r="K33" s="12" t="str">
        <f aca="false">IF(OR(ISNUMBER(SEARCH(","&amp;K$1&amp;",",","&amp;SUBSTITUTE(FAQs!$G33," ","")&amp;",")),AND(OR(FAQs!$E33="both",Routes!$C$10="both",FAQs!$E33=Routes!$C$10),OR(Routes!$D$10="ALL",COUNTIF(Routes!$D$10:$G$10,FAQs!$C33)&gt;0,AND(FAQs!$D33&lt;&gt;"",COUNTIF(Routes!$D$10:$G$10,FAQs!$D33)&gt;0)))),"●","")</f>
        <v>●</v>
      </c>
      <c r="L33" s="12" t="str">
        <f aca="false">IF(OR(ISNUMBER(SEARCH(","&amp;L$1&amp;",",","&amp;SUBSTITUTE(FAQs!$G33," ","")&amp;",")),AND(OR(FAQs!$E33="both",Routes!$C$11="both",FAQs!$E33=Routes!$C$11),OR(Routes!$D$11="ALL",COUNTIF(Routes!$D$11:$G$11,FAQs!$C33)&gt;0,AND(FAQs!$D33&lt;&gt;"",COUNTIF(Routes!$D$11:$G$11,FAQs!$D33)&gt;0)))),"●","")</f>
        <v/>
      </c>
      <c r="M33" s="12" t="str">
        <f aca="false">IF(OR(ISNUMBER(SEARCH(","&amp;M$1&amp;",",","&amp;SUBSTITUTE(FAQs!$G33," ","")&amp;",")),AND(OR(FAQs!$E33="both",Routes!$C$12="both",FAQs!$E33=Routes!$C$12),OR(Routes!$D$12="ALL",COUNTIF(Routes!$D$12:$G$12,FAQs!$C33)&gt;0,AND(FAQs!$D33&lt;&gt;"",COUNTIF(Routes!$D$12:$G$12,FAQs!$D33)&gt;0)))),"●","")</f>
        <v/>
      </c>
      <c r="N33" s="12" t="str">
        <f aca="false">IF(OR(ISNUMBER(SEARCH(","&amp;N$1&amp;",",","&amp;SUBSTITUTE(FAQs!$G33," ","")&amp;",")),AND(OR(FAQs!$E33="both",Routes!$C$13="both",FAQs!$E33=Routes!$C$13),OR(Routes!$D$13="ALL",COUNTIF(Routes!$D$13:$G$13,FAQs!$C33)&gt;0,AND(FAQs!$D33&lt;&gt;"",COUNTIF(Routes!$D$13:$G$13,FAQs!$D33)&gt;0)))),"●","")</f>
        <v/>
      </c>
      <c r="O33" s="12" t="str">
        <f aca="false">IF(OR(ISNUMBER(SEARCH(","&amp;O$1&amp;",",","&amp;SUBSTITUTE(FAQs!$G33," ","")&amp;",")),AND(OR(FAQs!$E33="both",Routes!$C$14="both",FAQs!$E33=Routes!$C$14),OR(Routes!$D$14="ALL",COUNTIF(Routes!$D$14:$G$14,FAQs!$C33)&gt;0,AND(FAQs!$D33&lt;&gt;"",COUNTIF(Routes!$D$14:$G$14,FAQs!$D33)&gt;0)))),"●","")</f>
        <v>●</v>
      </c>
      <c r="P33" s="12" t="str">
        <f aca="false">IF(OR(ISNUMBER(SEARCH(","&amp;P$1&amp;",",","&amp;SUBSTITUTE(FAQs!$G33," ","")&amp;",")),AND(OR(FAQs!$E33="both",Routes!$C$15="both",FAQs!$E33=Routes!$C$15),OR(Routes!$D$15="ALL",COUNTIF(Routes!$D$15:$G$15,FAQs!$C33)&gt;0,AND(FAQs!$D33&lt;&gt;"",COUNTIF(Routes!$D$15:$G$15,FAQs!$D33)&gt;0)))),"●","")</f>
        <v/>
      </c>
      <c r="Q33" s="12" t="str">
        <f aca="false">IF(OR(ISNUMBER(SEARCH(","&amp;Q$1&amp;",",","&amp;SUBSTITUTE(FAQs!$G33," ","")&amp;",")),AND(OR(FAQs!$E33="both",Routes!$C$16="both",FAQs!$E33=Routes!$C$16),OR(Routes!$D$16="ALL",COUNTIF(Routes!$D$16:$G$16,FAQs!$C33)&gt;0,AND(FAQs!$D33&lt;&gt;"",COUNTIF(Routes!$D$16:$G$16,FAQs!$D33)&gt;0)))),"●","")</f>
        <v/>
      </c>
      <c r="R33" s="12" t="str">
        <f aca="false">IF(OR(ISNUMBER(SEARCH(","&amp;R$1&amp;",",","&amp;SUBSTITUTE(FAQs!$G33," ","")&amp;",")),AND(OR(FAQs!$E33="both",Routes!$C$17="both",FAQs!$E33=Routes!$C$17),OR(Routes!$D$17="ALL",COUNTIF(Routes!$D$17:$G$17,FAQs!$C33)&gt;0,AND(FAQs!$D33&lt;&gt;"",COUNTIF(Routes!$D$17:$G$17,FAQs!$D33)&gt;0)))),"●","")</f>
        <v/>
      </c>
      <c r="S33" s="12" t="str">
        <f aca="false">IF(OR(ISNUMBER(SEARCH(","&amp;S$1&amp;",",","&amp;SUBSTITUTE(FAQs!$G33," ","")&amp;",")),AND(OR(FAQs!$E33="both",Routes!$C$18="both",FAQs!$E33=Routes!$C$18),OR(Routes!$D$18="ALL",COUNTIF(Routes!$D$18:$G$18,FAQs!$C33)&gt;0,AND(FAQs!$D33&lt;&gt;"",COUNTIF(Routes!$D$18:$G$18,FAQs!$D33)&gt;0)))),"●","")</f>
        <v/>
      </c>
      <c r="T33" s="12" t="str">
        <f aca="false">IF(OR(ISNUMBER(SEARCH(","&amp;T$1&amp;",",","&amp;SUBSTITUTE(FAQs!$G33," ","")&amp;",")),AND(OR(FAQs!$E33="both",Routes!$C$19="both",FAQs!$E33=Routes!$C$19),OR(Routes!$D$19="ALL",COUNTIF(Routes!$D$19:$G$19,FAQs!$C33)&gt;0,AND(FAQs!$D33&lt;&gt;"",COUNTIF(Routes!$D$19:$G$19,FAQs!$D33)&gt;0)))),"●","")</f>
        <v>●</v>
      </c>
      <c r="U33" s="9" t="n">
        <f aca="false">COUNTIF(C33:T33,"●")</f>
        <v>4</v>
      </c>
    </row>
    <row r="34" customFormat="false" ht="15" hidden="false" customHeight="false" outlineLevel="0" collapsed="false">
      <c r="A34" s="9" t="str">
        <f aca="false">FAQs!A34</f>
        <v>F33</v>
      </c>
      <c r="B34" s="9" t="str">
        <f aca="false">FAQs!H34</f>
        <v>Do you have a loyalty programme?</v>
      </c>
      <c r="C34" s="12" t="str">
        <f aca="false">IF(OR(ISNUMBER(SEARCH(","&amp;C$1&amp;",",","&amp;SUBSTITUTE(FAQs!$G34," ","")&amp;",")),AND(OR(FAQs!$E34="both",Routes!$C$2="both",FAQs!$E34=Routes!$C$2),OR(Routes!$D$2="ALL",COUNTIF(Routes!$D$2:$G$2,FAQs!$C34)&gt;0,AND(FAQs!$D34&lt;&gt;"",COUNTIF(Routes!$D$2:$G$2,FAQs!$D34)&gt;0)))),"●","")</f>
        <v/>
      </c>
      <c r="D34" s="12" t="str">
        <f aca="false">IF(OR(ISNUMBER(SEARCH(","&amp;D$1&amp;",",","&amp;SUBSTITUTE(FAQs!$G34," ","")&amp;",")),AND(OR(FAQs!$E34="both",Routes!$C$3="both",FAQs!$E34=Routes!$C$3),OR(Routes!$D$3="ALL",COUNTIF(Routes!$D$3:$G$3,FAQs!$C34)&gt;0,AND(FAQs!$D34&lt;&gt;"",COUNTIF(Routes!$D$3:$G$3,FAQs!$D34)&gt;0)))),"●","")</f>
        <v/>
      </c>
      <c r="E34" s="12" t="str">
        <f aca="false">IF(OR(ISNUMBER(SEARCH(","&amp;E$1&amp;",",","&amp;SUBSTITUTE(FAQs!$G34," ","")&amp;",")),AND(OR(FAQs!$E34="both",Routes!$C$4="both",FAQs!$E34=Routes!$C$4),OR(Routes!$D$4="ALL",COUNTIF(Routes!$D$4:$G$4,FAQs!$C34)&gt;0,AND(FAQs!$D34&lt;&gt;"",COUNTIF(Routes!$D$4:$G$4,FAQs!$D34)&gt;0)))),"●","")</f>
        <v/>
      </c>
      <c r="F34" s="12" t="str">
        <f aca="false">IF(OR(ISNUMBER(SEARCH(","&amp;F$1&amp;",",","&amp;SUBSTITUTE(FAQs!$G34," ","")&amp;",")),AND(OR(FAQs!$E34="both",Routes!$C$5="both",FAQs!$E34=Routes!$C$5),OR(Routes!$D$5="ALL",COUNTIF(Routes!$D$5:$G$5,FAQs!$C34)&gt;0,AND(FAQs!$D34&lt;&gt;"",COUNTIF(Routes!$D$5:$G$5,FAQs!$D34)&gt;0)))),"●","")</f>
        <v/>
      </c>
      <c r="G34" s="12" t="str">
        <f aca="false">IF(OR(ISNUMBER(SEARCH(","&amp;G$1&amp;",",","&amp;SUBSTITUTE(FAQs!$G34," ","")&amp;",")),AND(OR(FAQs!$E34="both",Routes!$C$6="both",FAQs!$E34=Routes!$C$6),OR(Routes!$D$6="ALL",COUNTIF(Routes!$D$6:$G$6,FAQs!$C34)&gt;0,AND(FAQs!$D34&lt;&gt;"",COUNTIF(Routes!$D$6:$G$6,FAQs!$D34)&gt;0)))),"●","")</f>
        <v/>
      </c>
      <c r="H34" s="12" t="str">
        <f aca="false">IF(OR(ISNUMBER(SEARCH(","&amp;H$1&amp;",",","&amp;SUBSTITUTE(FAQs!$G34," ","")&amp;",")),AND(OR(FAQs!$E34="both",Routes!$C$7="both",FAQs!$E34=Routes!$C$7),OR(Routes!$D$7="ALL",COUNTIF(Routes!$D$7:$G$7,FAQs!$C34)&gt;0,AND(FAQs!$D34&lt;&gt;"",COUNTIF(Routes!$D$7:$G$7,FAQs!$D34)&gt;0)))),"●","")</f>
        <v/>
      </c>
      <c r="I34" s="12" t="str">
        <f aca="false">IF(OR(ISNUMBER(SEARCH(","&amp;I$1&amp;",",","&amp;SUBSTITUTE(FAQs!$G34," ","")&amp;",")),AND(OR(FAQs!$E34="both",Routes!$C$8="both",FAQs!$E34=Routes!$C$8),OR(Routes!$D$8="ALL",COUNTIF(Routes!$D$8:$G$8,FAQs!$C34)&gt;0,AND(FAQs!$D34&lt;&gt;"",COUNTIF(Routes!$D$8:$G$8,FAQs!$D34)&gt;0)))),"●","")</f>
        <v>●</v>
      </c>
      <c r="J34" s="12" t="str">
        <f aca="false">IF(OR(ISNUMBER(SEARCH(","&amp;J$1&amp;",",","&amp;SUBSTITUTE(FAQs!$G34," ","")&amp;",")),AND(OR(FAQs!$E34="both",Routes!$C$9="both",FAQs!$E34=Routes!$C$9),OR(Routes!$D$9="ALL",COUNTIF(Routes!$D$9:$G$9,FAQs!$C34)&gt;0,AND(FAQs!$D34&lt;&gt;"",COUNTIF(Routes!$D$9:$G$9,FAQs!$D34)&gt;0)))),"●","")</f>
        <v/>
      </c>
      <c r="K34" s="12" t="str">
        <f aca="false">IF(OR(ISNUMBER(SEARCH(","&amp;K$1&amp;",",","&amp;SUBSTITUTE(FAQs!$G34," ","")&amp;",")),AND(OR(FAQs!$E34="both",Routes!$C$10="both",FAQs!$E34=Routes!$C$10),OR(Routes!$D$10="ALL",COUNTIF(Routes!$D$10:$G$10,FAQs!$C34)&gt;0,AND(FAQs!$D34&lt;&gt;"",COUNTIF(Routes!$D$10:$G$10,FAQs!$D34)&gt;0)))),"●","")</f>
        <v>●</v>
      </c>
      <c r="L34" s="12" t="str">
        <f aca="false">IF(OR(ISNUMBER(SEARCH(","&amp;L$1&amp;",",","&amp;SUBSTITUTE(FAQs!$G34," ","")&amp;",")),AND(OR(FAQs!$E34="both",Routes!$C$11="both",FAQs!$E34=Routes!$C$11),OR(Routes!$D$11="ALL",COUNTIF(Routes!$D$11:$G$11,FAQs!$C34)&gt;0,AND(FAQs!$D34&lt;&gt;"",COUNTIF(Routes!$D$11:$G$11,FAQs!$D34)&gt;0)))),"●","")</f>
        <v/>
      </c>
      <c r="M34" s="12" t="str">
        <f aca="false">IF(OR(ISNUMBER(SEARCH(","&amp;M$1&amp;",",","&amp;SUBSTITUTE(FAQs!$G34," ","")&amp;",")),AND(OR(FAQs!$E34="both",Routes!$C$12="both",FAQs!$E34=Routes!$C$12),OR(Routes!$D$12="ALL",COUNTIF(Routes!$D$12:$G$12,FAQs!$C34)&gt;0,AND(FAQs!$D34&lt;&gt;"",COUNTIF(Routes!$D$12:$G$12,FAQs!$D34)&gt;0)))),"●","")</f>
        <v/>
      </c>
      <c r="N34" s="12" t="str">
        <f aca="false">IF(OR(ISNUMBER(SEARCH(","&amp;N$1&amp;",",","&amp;SUBSTITUTE(FAQs!$G34," ","")&amp;",")),AND(OR(FAQs!$E34="both",Routes!$C$13="both",FAQs!$E34=Routes!$C$13),OR(Routes!$D$13="ALL",COUNTIF(Routes!$D$13:$G$13,FAQs!$C34)&gt;0,AND(FAQs!$D34&lt;&gt;"",COUNTIF(Routes!$D$13:$G$13,FAQs!$D34)&gt;0)))),"●","")</f>
        <v/>
      </c>
      <c r="O34" s="12" t="str">
        <f aca="false">IF(OR(ISNUMBER(SEARCH(","&amp;O$1&amp;",",","&amp;SUBSTITUTE(FAQs!$G34," ","")&amp;",")),AND(OR(FAQs!$E34="both",Routes!$C$14="both",FAQs!$E34=Routes!$C$14),OR(Routes!$D$14="ALL",COUNTIF(Routes!$D$14:$G$14,FAQs!$C34)&gt;0,AND(FAQs!$D34&lt;&gt;"",COUNTIF(Routes!$D$14:$G$14,FAQs!$D34)&gt;0)))),"●","")</f>
        <v/>
      </c>
      <c r="P34" s="12" t="str">
        <f aca="false">IF(OR(ISNUMBER(SEARCH(","&amp;P$1&amp;",",","&amp;SUBSTITUTE(FAQs!$G34," ","")&amp;",")),AND(OR(FAQs!$E34="both",Routes!$C$15="both",FAQs!$E34=Routes!$C$15),OR(Routes!$D$15="ALL",COUNTIF(Routes!$D$15:$G$15,FAQs!$C34)&gt;0,AND(FAQs!$D34&lt;&gt;"",COUNTIF(Routes!$D$15:$G$15,FAQs!$D34)&gt;0)))),"●","")</f>
        <v/>
      </c>
      <c r="Q34" s="12" t="str">
        <f aca="false">IF(OR(ISNUMBER(SEARCH(","&amp;Q$1&amp;",",","&amp;SUBSTITUTE(FAQs!$G34," ","")&amp;",")),AND(OR(FAQs!$E34="both",Routes!$C$16="both",FAQs!$E34=Routes!$C$16),OR(Routes!$D$16="ALL",COUNTIF(Routes!$D$16:$G$16,FAQs!$C34)&gt;0,AND(FAQs!$D34&lt;&gt;"",COUNTIF(Routes!$D$16:$G$16,FAQs!$D34)&gt;0)))),"●","")</f>
        <v/>
      </c>
      <c r="R34" s="12" t="str">
        <f aca="false">IF(OR(ISNUMBER(SEARCH(","&amp;R$1&amp;",",","&amp;SUBSTITUTE(FAQs!$G34," ","")&amp;",")),AND(OR(FAQs!$E34="both",Routes!$C$17="both",FAQs!$E34=Routes!$C$17),OR(Routes!$D$17="ALL",COUNTIF(Routes!$D$17:$G$17,FAQs!$C34)&gt;0,AND(FAQs!$D34&lt;&gt;"",COUNTIF(Routes!$D$17:$G$17,FAQs!$D34)&gt;0)))),"●","")</f>
        <v/>
      </c>
      <c r="S34" s="12" t="str">
        <f aca="false">IF(OR(ISNUMBER(SEARCH(","&amp;S$1&amp;",",","&amp;SUBSTITUTE(FAQs!$G34," ","")&amp;",")),AND(OR(FAQs!$E34="both",Routes!$C$18="both",FAQs!$E34=Routes!$C$18),OR(Routes!$D$18="ALL",COUNTIF(Routes!$D$18:$G$18,FAQs!$C34)&gt;0,AND(FAQs!$D34&lt;&gt;"",COUNTIF(Routes!$D$18:$G$18,FAQs!$D34)&gt;0)))),"●","")</f>
        <v/>
      </c>
      <c r="T34" s="12" t="str">
        <f aca="false">IF(OR(ISNUMBER(SEARCH(","&amp;T$1&amp;",",","&amp;SUBSTITUTE(FAQs!$G34," ","")&amp;",")),AND(OR(FAQs!$E34="both",Routes!$C$19="both",FAQs!$E34=Routes!$C$19),OR(Routes!$D$19="ALL",COUNTIF(Routes!$D$19:$G$19,FAQs!$C34)&gt;0,AND(FAQs!$D34&lt;&gt;"",COUNTIF(Routes!$D$19:$G$19,FAQs!$D34)&gt;0)))),"●","")</f>
        <v/>
      </c>
      <c r="U34" s="9" t="n">
        <f aca="false">COUNTIF(C34:T34,"●")</f>
        <v>2</v>
      </c>
    </row>
    <row r="35" customFormat="false" ht="15" hidden="false" customHeight="false" outlineLevel="0" collapsed="false">
      <c r="A35" s="9" t="str">
        <f aca="false">FAQs!A35</f>
        <v>F34</v>
      </c>
      <c r="B35" s="9" t="str">
        <f aca="false">FAQs!H35</f>
        <v>I lost something at the hotel. What should I do?</v>
      </c>
      <c r="C35" s="12" t="str">
        <f aca="false">IF(OR(ISNUMBER(SEARCH(","&amp;C$1&amp;",",","&amp;SUBSTITUTE(FAQs!$G35," ","")&amp;",")),AND(OR(FAQs!$E35="both",Routes!$C$2="both",FAQs!$E35=Routes!$C$2),OR(Routes!$D$2="ALL",COUNTIF(Routes!$D$2:$G$2,FAQs!$C35)&gt;0,AND(FAQs!$D35&lt;&gt;"",COUNTIF(Routes!$D$2:$G$2,FAQs!$D35)&gt;0)))),"●","")</f>
        <v/>
      </c>
      <c r="D35" s="12" t="str">
        <f aca="false">IF(OR(ISNUMBER(SEARCH(","&amp;D$1&amp;",",","&amp;SUBSTITUTE(FAQs!$G35," ","")&amp;",")),AND(OR(FAQs!$E35="both",Routes!$C$3="both",FAQs!$E35=Routes!$C$3),OR(Routes!$D$3="ALL",COUNTIF(Routes!$D$3:$G$3,FAQs!$C35)&gt;0,AND(FAQs!$D35&lt;&gt;"",COUNTIF(Routes!$D$3:$G$3,FAQs!$D35)&gt;0)))),"●","")</f>
        <v/>
      </c>
      <c r="E35" s="12" t="str">
        <f aca="false">IF(OR(ISNUMBER(SEARCH(","&amp;E$1&amp;",",","&amp;SUBSTITUTE(FAQs!$G35," ","")&amp;",")),AND(OR(FAQs!$E35="both",Routes!$C$4="both",FAQs!$E35=Routes!$C$4),OR(Routes!$D$4="ALL",COUNTIF(Routes!$D$4:$G$4,FAQs!$C35)&gt;0,AND(FAQs!$D35&lt;&gt;"",COUNTIF(Routes!$D$4:$G$4,FAQs!$D35)&gt;0)))),"●","")</f>
        <v/>
      </c>
      <c r="F35" s="12" t="str">
        <f aca="false">IF(OR(ISNUMBER(SEARCH(","&amp;F$1&amp;",",","&amp;SUBSTITUTE(FAQs!$G35," ","")&amp;",")),AND(OR(FAQs!$E35="both",Routes!$C$5="both",FAQs!$E35=Routes!$C$5),OR(Routes!$D$5="ALL",COUNTIF(Routes!$D$5:$G$5,FAQs!$C35)&gt;0,AND(FAQs!$D35&lt;&gt;"",COUNTIF(Routes!$D$5:$G$5,FAQs!$D35)&gt;0)))),"●","")</f>
        <v/>
      </c>
      <c r="G35" s="12" t="str">
        <f aca="false">IF(OR(ISNUMBER(SEARCH(","&amp;G$1&amp;",",","&amp;SUBSTITUTE(FAQs!$G35," ","")&amp;",")),AND(OR(FAQs!$E35="both",Routes!$C$6="both",FAQs!$E35=Routes!$C$6),OR(Routes!$D$6="ALL",COUNTIF(Routes!$D$6:$G$6,FAQs!$C35)&gt;0,AND(FAQs!$D35&lt;&gt;"",COUNTIF(Routes!$D$6:$G$6,FAQs!$D35)&gt;0)))),"●","")</f>
        <v/>
      </c>
      <c r="H35" s="12" t="str">
        <f aca="false">IF(OR(ISNUMBER(SEARCH(","&amp;H$1&amp;",",","&amp;SUBSTITUTE(FAQs!$G35," ","")&amp;",")),AND(OR(FAQs!$E35="both",Routes!$C$7="both",FAQs!$E35=Routes!$C$7),OR(Routes!$D$7="ALL",COUNTIF(Routes!$D$7:$G$7,FAQs!$C35)&gt;0,AND(FAQs!$D35&lt;&gt;"",COUNTIF(Routes!$D$7:$G$7,FAQs!$D35)&gt;0)))),"●","")</f>
        <v/>
      </c>
      <c r="I35" s="12" t="str">
        <f aca="false">IF(OR(ISNUMBER(SEARCH(","&amp;I$1&amp;",",","&amp;SUBSTITUTE(FAQs!$G35," ","")&amp;",")),AND(OR(FAQs!$E35="both",Routes!$C$8="both",FAQs!$E35=Routes!$C$8),OR(Routes!$D$8="ALL",COUNTIF(Routes!$D$8:$G$8,FAQs!$C35)&gt;0,AND(FAQs!$D35&lt;&gt;"",COUNTIF(Routes!$D$8:$G$8,FAQs!$D35)&gt;0)))),"●","")</f>
        <v/>
      </c>
      <c r="J35" s="12" t="str">
        <f aca="false">IF(OR(ISNUMBER(SEARCH(","&amp;J$1&amp;",",","&amp;SUBSTITUTE(FAQs!$G35," ","")&amp;",")),AND(OR(FAQs!$E35="both",Routes!$C$9="both",FAQs!$E35=Routes!$C$9),OR(Routes!$D$9="ALL",COUNTIF(Routes!$D$9:$G$9,FAQs!$C35)&gt;0,AND(FAQs!$D35&lt;&gt;"",COUNTIF(Routes!$D$9:$G$9,FAQs!$D35)&gt;0)))),"●","")</f>
        <v/>
      </c>
      <c r="K35" s="12" t="str">
        <f aca="false">IF(OR(ISNUMBER(SEARCH(","&amp;K$1&amp;",",","&amp;SUBSTITUTE(FAQs!$G35," ","")&amp;",")),AND(OR(FAQs!$E35="both",Routes!$C$10="both",FAQs!$E35=Routes!$C$10),OR(Routes!$D$10="ALL",COUNTIF(Routes!$D$10:$G$10,FAQs!$C35)&gt;0,AND(FAQs!$D35&lt;&gt;"",COUNTIF(Routes!$D$10:$G$10,FAQs!$D35)&gt;0)))),"●","")</f>
        <v/>
      </c>
      <c r="L35" s="12" t="str">
        <f aca="false">IF(OR(ISNUMBER(SEARCH(","&amp;L$1&amp;",",","&amp;SUBSTITUTE(FAQs!$G35," ","")&amp;",")),AND(OR(FAQs!$E35="both",Routes!$C$11="both",FAQs!$E35=Routes!$C$11),OR(Routes!$D$11="ALL",COUNTIF(Routes!$D$11:$G$11,FAQs!$C35)&gt;0,AND(FAQs!$D35&lt;&gt;"",COUNTIF(Routes!$D$11:$G$11,FAQs!$D35)&gt;0)))),"●","")</f>
        <v/>
      </c>
      <c r="M35" s="12" t="str">
        <f aca="false">IF(OR(ISNUMBER(SEARCH(","&amp;M$1&amp;",",","&amp;SUBSTITUTE(FAQs!$G35," ","")&amp;",")),AND(OR(FAQs!$E35="both",Routes!$C$12="both",FAQs!$E35=Routes!$C$12),OR(Routes!$D$12="ALL",COUNTIF(Routes!$D$12:$G$12,FAQs!$C35)&gt;0,AND(FAQs!$D35&lt;&gt;"",COUNTIF(Routes!$D$12:$G$12,FAQs!$D35)&gt;0)))),"●","")</f>
        <v/>
      </c>
      <c r="N35" s="12" t="str">
        <f aca="false">IF(OR(ISNUMBER(SEARCH(","&amp;N$1&amp;",",","&amp;SUBSTITUTE(FAQs!$G35," ","")&amp;",")),AND(OR(FAQs!$E35="both",Routes!$C$13="both",FAQs!$E35=Routes!$C$13),OR(Routes!$D$13="ALL",COUNTIF(Routes!$D$13:$G$13,FAQs!$C35)&gt;0,AND(FAQs!$D35&lt;&gt;"",COUNTIF(Routes!$D$13:$G$13,FAQs!$D35)&gt;0)))),"●","")</f>
        <v/>
      </c>
      <c r="O35" s="12" t="str">
        <f aca="false">IF(OR(ISNUMBER(SEARCH(","&amp;O$1&amp;",",","&amp;SUBSTITUTE(FAQs!$G35," ","")&amp;",")),AND(OR(FAQs!$E35="both",Routes!$C$14="both",FAQs!$E35=Routes!$C$14),OR(Routes!$D$14="ALL",COUNTIF(Routes!$D$14:$G$14,FAQs!$C35)&gt;0,AND(FAQs!$D35&lt;&gt;"",COUNTIF(Routes!$D$14:$G$14,FAQs!$D35)&gt;0)))),"●","")</f>
        <v>●</v>
      </c>
      <c r="P35" s="12" t="str">
        <f aca="false">IF(OR(ISNUMBER(SEARCH(","&amp;P$1&amp;",",","&amp;SUBSTITUTE(FAQs!$G35," ","")&amp;",")),AND(OR(FAQs!$E35="both",Routes!$C$15="both",FAQs!$E35=Routes!$C$15),OR(Routes!$D$15="ALL",COUNTIF(Routes!$D$15:$G$15,FAQs!$C35)&gt;0,AND(FAQs!$D35&lt;&gt;"",COUNTIF(Routes!$D$15:$G$15,FAQs!$D35)&gt;0)))),"●","")</f>
        <v/>
      </c>
      <c r="Q35" s="12" t="str">
        <f aca="false">IF(OR(ISNUMBER(SEARCH(","&amp;Q$1&amp;",",","&amp;SUBSTITUTE(FAQs!$G35," ","")&amp;",")),AND(OR(FAQs!$E35="both",Routes!$C$16="both",FAQs!$E35=Routes!$C$16),OR(Routes!$D$16="ALL",COUNTIF(Routes!$D$16:$G$16,FAQs!$C35)&gt;0,AND(FAQs!$D35&lt;&gt;"",COUNTIF(Routes!$D$16:$G$16,FAQs!$D35)&gt;0)))),"●","")</f>
        <v/>
      </c>
      <c r="R35" s="12" t="str">
        <f aca="false">IF(OR(ISNUMBER(SEARCH(","&amp;R$1&amp;",",","&amp;SUBSTITUTE(FAQs!$G35," ","")&amp;",")),AND(OR(FAQs!$E35="both",Routes!$C$17="both",FAQs!$E35=Routes!$C$17),OR(Routes!$D$17="ALL",COUNTIF(Routes!$D$17:$G$17,FAQs!$C35)&gt;0,AND(FAQs!$D35&lt;&gt;"",COUNTIF(Routes!$D$17:$G$17,FAQs!$D35)&gt;0)))),"●","")</f>
        <v/>
      </c>
      <c r="S35" s="12" t="str">
        <f aca="false">IF(OR(ISNUMBER(SEARCH(","&amp;S$1&amp;",",","&amp;SUBSTITUTE(FAQs!$G35," ","")&amp;",")),AND(OR(FAQs!$E35="both",Routes!$C$18="both",FAQs!$E35=Routes!$C$18),OR(Routes!$D$18="ALL",COUNTIF(Routes!$D$18:$G$18,FAQs!$C35)&gt;0,AND(FAQs!$D35&lt;&gt;"",COUNTIF(Routes!$D$18:$G$18,FAQs!$D35)&gt;0)))),"●","")</f>
        <v/>
      </c>
      <c r="T35" s="12" t="str">
        <f aca="false">IF(OR(ISNUMBER(SEARCH(","&amp;T$1&amp;",",","&amp;SUBSTITUTE(FAQs!$G35," ","")&amp;",")),AND(OR(FAQs!$E35="both",Routes!$C$19="both",FAQs!$E35=Routes!$C$19),OR(Routes!$D$19="ALL",COUNTIF(Routes!$D$19:$G$19,FAQs!$C35)&gt;0,AND(FAQs!$D35&lt;&gt;"",COUNTIF(Routes!$D$19:$G$19,FAQs!$D35)&gt;0)))),"●","")</f>
        <v/>
      </c>
      <c r="U35" s="9" t="n">
        <f aca="false">COUNTIF(C35:T35,"●")</f>
        <v>1</v>
      </c>
    </row>
    <row r="36" customFormat="false" ht="15" hidden="false" customHeight="false" outlineLevel="0" collapsed="false">
      <c r="A36" s="9" t="str">
        <f aca="false">FAQs!A36</f>
        <v>F35</v>
      </c>
      <c r="B36" s="9" t="str">
        <f aca="false">FAQs!H36</f>
        <v>How do I book a meeting room?</v>
      </c>
      <c r="C36" s="12" t="str">
        <f aca="false">IF(OR(ISNUMBER(SEARCH(","&amp;C$1&amp;",",","&amp;SUBSTITUTE(FAQs!$G36," ","")&amp;",")),AND(OR(FAQs!$E36="both",Routes!$C$2="both",FAQs!$E36=Routes!$C$2),OR(Routes!$D$2="ALL",COUNTIF(Routes!$D$2:$G$2,FAQs!$C36)&gt;0,AND(FAQs!$D36&lt;&gt;"",COUNTIF(Routes!$D$2:$G$2,FAQs!$D36)&gt;0)))),"●","")</f>
        <v/>
      </c>
      <c r="D36" s="12" t="str">
        <f aca="false">IF(OR(ISNUMBER(SEARCH(","&amp;D$1&amp;",",","&amp;SUBSTITUTE(FAQs!$G36," ","")&amp;",")),AND(OR(FAQs!$E36="both",Routes!$C$3="both",FAQs!$E36=Routes!$C$3),OR(Routes!$D$3="ALL",COUNTIF(Routes!$D$3:$G$3,FAQs!$C36)&gt;0,AND(FAQs!$D36&lt;&gt;"",COUNTIF(Routes!$D$3:$G$3,FAQs!$D36)&gt;0)))),"●","")</f>
        <v/>
      </c>
      <c r="E36" s="12" t="str">
        <f aca="false">IF(OR(ISNUMBER(SEARCH(","&amp;E$1&amp;",",","&amp;SUBSTITUTE(FAQs!$G36," ","")&amp;",")),AND(OR(FAQs!$E36="both",Routes!$C$4="both",FAQs!$E36=Routes!$C$4),OR(Routes!$D$4="ALL",COUNTIF(Routes!$D$4:$G$4,FAQs!$C36)&gt;0,AND(FAQs!$D36&lt;&gt;"",COUNTIF(Routes!$D$4:$G$4,FAQs!$D36)&gt;0)))),"●","")</f>
        <v/>
      </c>
      <c r="F36" s="12" t="str">
        <f aca="false">IF(OR(ISNUMBER(SEARCH(","&amp;F$1&amp;",",","&amp;SUBSTITUTE(FAQs!$G36," ","")&amp;",")),AND(OR(FAQs!$E36="both",Routes!$C$5="both",FAQs!$E36=Routes!$C$5),OR(Routes!$D$5="ALL",COUNTIF(Routes!$D$5:$G$5,FAQs!$C36)&gt;0,AND(FAQs!$D36&lt;&gt;"",COUNTIF(Routes!$D$5:$G$5,FAQs!$D36)&gt;0)))),"●","")</f>
        <v>●</v>
      </c>
      <c r="G36" s="12" t="str">
        <f aca="false">IF(OR(ISNUMBER(SEARCH(","&amp;G$1&amp;",",","&amp;SUBSTITUTE(FAQs!$G36," ","")&amp;",")),AND(OR(FAQs!$E36="both",Routes!$C$6="both",FAQs!$E36=Routes!$C$6),OR(Routes!$D$6="ALL",COUNTIF(Routes!$D$6:$G$6,FAQs!$C36)&gt;0,AND(FAQs!$D36&lt;&gt;"",COUNTIF(Routes!$D$6:$G$6,FAQs!$D36)&gt;0)))),"●","")</f>
        <v/>
      </c>
      <c r="H36" s="12" t="str">
        <f aca="false">IF(OR(ISNUMBER(SEARCH(","&amp;H$1&amp;",",","&amp;SUBSTITUTE(FAQs!$G36," ","")&amp;",")),AND(OR(FAQs!$E36="both",Routes!$C$7="both",FAQs!$E36=Routes!$C$7),OR(Routes!$D$7="ALL",COUNTIF(Routes!$D$7:$G$7,FAQs!$C36)&gt;0,AND(FAQs!$D36&lt;&gt;"",COUNTIF(Routes!$D$7:$G$7,FAQs!$D36)&gt;0)))),"●","")</f>
        <v/>
      </c>
      <c r="I36" s="12" t="str">
        <f aca="false">IF(OR(ISNUMBER(SEARCH(","&amp;I$1&amp;",",","&amp;SUBSTITUTE(FAQs!$G36," ","")&amp;",")),AND(OR(FAQs!$E36="both",Routes!$C$8="both",FAQs!$E36=Routes!$C$8),OR(Routes!$D$8="ALL",COUNTIF(Routes!$D$8:$G$8,FAQs!$C36)&gt;0,AND(FAQs!$D36&lt;&gt;"",COUNTIF(Routes!$D$8:$G$8,FAQs!$D36)&gt;0)))),"●","")</f>
        <v/>
      </c>
      <c r="J36" s="12" t="str">
        <f aca="false">IF(OR(ISNUMBER(SEARCH(","&amp;J$1&amp;",",","&amp;SUBSTITUTE(FAQs!$G36," ","")&amp;",")),AND(OR(FAQs!$E36="both",Routes!$C$9="both",FAQs!$E36=Routes!$C$9),OR(Routes!$D$9="ALL",COUNTIF(Routes!$D$9:$G$9,FAQs!$C36)&gt;0,AND(FAQs!$D36&lt;&gt;"",COUNTIF(Routes!$D$9:$G$9,FAQs!$D36)&gt;0)))),"●","")</f>
        <v/>
      </c>
      <c r="K36" s="12" t="str">
        <f aca="false">IF(OR(ISNUMBER(SEARCH(","&amp;K$1&amp;",",","&amp;SUBSTITUTE(FAQs!$G36," ","")&amp;",")),AND(OR(FAQs!$E36="both",Routes!$C$10="both",FAQs!$E36=Routes!$C$10),OR(Routes!$D$10="ALL",COUNTIF(Routes!$D$10:$G$10,FAQs!$C36)&gt;0,AND(FAQs!$D36&lt;&gt;"",COUNTIF(Routes!$D$10:$G$10,FAQs!$D36)&gt;0)))),"●","")</f>
        <v>●</v>
      </c>
      <c r="L36" s="12" t="str">
        <f aca="false">IF(OR(ISNUMBER(SEARCH(","&amp;L$1&amp;",",","&amp;SUBSTITUTE(FAQs!$G36," ","")&amp;",")),AND(OR(FAQs!$E36="both",Routes!$C$11="both",FAQs!$E36=Routes!$C$11),OR(Routes!$D$11="ALL",COUNTIF(Routes!$D$11:$G$11,FAQs!$C36)&gt;0,AND(FAQs!$D36&lt;&gt;"",COUNTIF(Routes!$D$11:$G$11,FAQs!$D36)&gt;0)))),"●","")</f>
        <v/>
      </c>
      <c r="M36" s="12" t="str">
        <f aca="false">IF(OR(ISNUMBER(SEARCH(","&amp;M$1&amp;",",","&amp;SUBSTITUTE(FAQs!$G36," ","")&amp;",")),AND(OR(FAQs!$E36="both",Routes!$C$12="both",FAQs!$E36=Routes!$C$12),OR(Routes!$D$12="ALL",COUNTIF(Routes!$D$12:$G$12,FAQs!$C36)&gt;0,AND(FAQs!$D36&lt;&gt;"",COUNTIF(Routes!$D$12:$G$12,FAQs!$D36)&gt;0)))),"●","")</f>
        <v/>
      </c>
      <c r="N36" s="12" t="str">
        <f aca="false">IF(OR(ISNUMBER(SEARCH(","&amp;N$1&amp;",",","&amp;SUBSTITUTE(FAQs!$G36," ","")&amp;",")),AND(OR(FAQs!$E36="both",Routes!$C$13="both",FAQs!$E36=Routes!$C$13),OR(Routes!$D$13="ALL",COUNTIF(Routes!$D$13:$G$13,FAQs!$C36)&gt;0,AND(FAQs!$D36&lt;&gt;"",COUNTIF(Routes!$D$13:$G$13,FAQs!$D36)&gt;0)))),"●","")</f>
        <v/>
      </c>
      <c r="O36" s="12" t="str">
        <f aca="false">IF(OR(ISNUMBER(SEARCH(","&amp;O$1&amp;",",","&amp;SUBSTITUTE(FAQs!$G36," ","")&amp;",")),AND(OR(FAQs!$E36="both",Routes!$C$14="both",FAQs!$E36=Routes!$C$14),OR(Routes!$D$14="ALL",COUNTIF(Routes!$D$14:$G$14,FAQs!$C36)&gt;0,AND(FAQs!$D36&lt;&gt;"",COUNTIF(Routes!$D$14:$G$14,FAQs!$D36)&gt;0)))),"●","")</f>
        <v/>
      </c>
      <c r="P36" s="12" t="str">
        <f aca="false">IF(OR(ISNUMBER(SEARCH(","&amp;P$1&amp;",",","&amp;SUBSTITUTE(FAQs!$G36," ","")&amp;",")),AND(OR(FAQs!$E36="both",Routes!$C$15="both",FAQs!$E36=Routes!$C$15),OR(Routes!$D$15="ALL",COUNTIF(Routes!$D$15:$G$15,FAQs!$C36)&gt;0,AND(FAQs!$D36&lt;&gt;"",COUNTIF(Routes!$D$15:$G$15,FAQs!$D36)&gt;0)))),"●","")</f>
        <v/>
      </c>
      <c r="Q36" s="12" t="str">
        <f aca="false">IF(OR(ISNUMBER(SEARCH(","&amp;Q$1&amp;",",","&amp;SUBSTITUTE(FAQs!$G36," ","")&amp;",")),AND(OR(FAQs!$E36="both",Routes!$C$16="both",FAQs!$E36=Routes!$C$16),OR(Routes!$D$16="ALL",COUNTIF(Routes!$D$16:$G$16,FAQs!$C36)&gt;0,AND(FAQs!$D36&lt;&gt;"",COUNTIF(Routes!$D$16:$G$16,FAQs!$D36)&gt;0)))),"●","")</f>
        <v/>
      </c>
      <c r="R36" s="12" t="str">
        <f aca="false">IF(OR(ISNUMBER(SEARCH(","&amp;R$1&amp;",",","&amp;SUBSTITUTE(FAQs!$G36," ","")&amp;",")),AND(OR(FAQs!$E36="both",Routes!$C$17="both",FAQs!$E36=Routes!$C$17),OR(Routes!$D$17="ALL",COUNTIF(Routes!$D$17:$G$17,FAQs!$C36)&gt;0,AND(FAQs!$D36&lt;&gt;"",COUNTIF(Routes!$D$17:$G$17,FAQs!$D36)&gt;0)))),"●","")</f>
        <v/>
      </c>
      <c r="S36" s="12" t="str">
        <f aca="false">IF(OR(ISNUMBER(SEARCH(","&amp;S$1&amp;",",","&amp;SUBSTITUTE(FAQs!$G36," ","")&amp;",")),AND(OR(FAQs!$E36="both",Routes!$C$18="both",FAQs!$E36=Routes!$C$18),OR(Routes!$D$18="ALL",COUNTIF(Routes!$D$18:$G$18,FAQs!$C36)&gt;0,AND(FAQs!$D36&lt;&gt;"",COUNTIF(Routes!$D$18:$G$18,FAQs!$D36)&gt;0)))),"●","")</f>
        <v/>
      </c>
      <c r="T36" s="12" t="str">
        <f aca="false">IF(OR(ISNUMBER(SEARCH(","&amp;T$1&amp;",",","&amp;SUBSTITUTE(FAQs!$G36," ","")&amp;",")),AND(OR(FAQs!$E36="both",Routes!$C$19="both",FAQs!$E36=Routes!$C$19),OR(Routes!$D$19="ALL",COUNTIF(Routes!$D$19:$G$19,FAQs!$C36)&gt;0,AND(FAQs!$D36&lt;&gt;"",COUNTIF(Routes!$D$19:$G$19,FAQs!$D36)&gt;0)))),"●","")</f>
        <v/>
      </c>
      <c r="U36" s="9" t="n">
        <f aca="false">COUNTIF(C36:T36,"●")</f>
        <v>2</v>
      </c>
    </row>
    <row r="37" customFormat="false" ht="15" hidden="false" customHeight="false" outlineLevel="0" collapsed="false">
      <c r="A37" s="9" t="str">
        <f aca="false">FAQs!A37</f>
        <v>F36</v>
      </c>
      <c r="B37" s="9" t="str">
        <f aca="false">FAQs!H37</f>
        <v>How can I contact the hotel?</v>
      </c>
      <c r="C37" s="12" t="str">
        <f aca="false">IF(OR(ISNUMBER(SEARCH(","&amp;C$1&amp;",",","&amp;SUBSTITUTE(FAQs!$G37," ","")&amp;",")),AND(OR(FAQs!$E37="both",Routes!$C$2="both",FAQs!$E37=Routes!$C$2),OR(Routes!$D$2="ALL",COUNTIF(Routes!$D$2:$G$2,FAQs!$C37)&gt;0,AND(FAQs!$D37&lt;&gt;"",COUNTIF(Routes!$D$2:$G$2,FAQs!$D37)&gt;0)))),"●","")</f>
        <v/>
      </c>
      <c r="D37" s="12" t="str">
        <f aca="false">IF(OR(ISNUMBER(SEARCH(","&amp;D$1&amp;",",","&amp;SUBSTITUTE(FAQs!$G37," ","")&amp;",")),AND(OR(FAQs!$E37="both",Routes!$C$3="both",FAQs!$E37=Routes!$C$3),OR(Routes!$D$3="ALL",COUNTIF(Routes!$D$3:$G$3,FAQs!$C37)&gt;0,AND(FAQs!$D37&lt;&gt;"",COUNTIF(Routes!$D$3:$G$3,FAQs!$D37)&gt;0)))),"●","")</f>
        <v/>
      </c>
      <c r="E37" s="12" t="str">
        <f aca="false">IF(OR(ISNUMBER(SEARCH(","&amp;E$1&amp;",",","&amp;SUBSTITUTE(FAQs!$G37," ","")&amp;",")),AND(OR(FAQs!$E37="both",Routes!$C$4="both",FAQs!$E37=Routes!$C$4),OR(Routes!$D$4="ALL",COUNTIF(Routes!$D$4:$G$4,FAQs!$C37)&gt;0,AND(FAQs!$D37&lt;&gt;"",COUNTIF(Routes!$D$4:$G$4,FAQs!$D37)&gt;0)))),"●","")</f>
        <v/>
      </c>
      <c r="F37" s="12" t="str">
        <f aca="false">IF(OR(ISNUMBER(SEARCH(","&amp;F$1&amp;",",","&amp;SUBSTITUTE(FAQs!$G37," ","")&amp;",")),AND(OR(FAQs!$E37="both",Routes!$C$5="both",FAQs!$E37=Routes!$C$5),OR(Routes!$D$5="ALL",COUNTIF(Routes!$D$5:$G$5,FAQs!$C37)&gt;0,AND(FAQs!$D37&lt;&gt;"",COUNTIF(Routes!$D$5:$G$5,FAQs!$D37)&gt;0)))),"●","")</f>
        <v/>
      </c>
      <c r="G37" s="12" t="str">
        <f aca="false">IF(OR(ISNUMBER(SEARCH(","&amp;G$1&amp;",",","&amp;SUBSTITUTE(FAQs!$G37," ","")&amp;",")),AND(OR(FAQs!$E37="both",Routes!$C$6="both",FAQs!$E37=Routes!$C$6),OR(Routes!$D$6="ALL",COUNTIF(Routes!$D$6:$G$6,FAQs!$C37)&gt;0,AND(FAQs!$D37&lt;&gt;"",COUNTIF(Routes!$D$6:$G$6,FAQs!$D37)&gt;0)))),"●","")</f>
        <v/>
      </c>
      <c r="H37" s="12" t="str">
        <f aca="false">IF(OR(ISNUMBER(SEARCH(","&amp;H$1&amp;",",","&amp;SUBSTITUTE(FAQs!$G37," ","")&amp;",")),AND(OR(FAQs!$E37="both",Routes!$C$7="both",FAQs!$E37=Routes!$C$7),OR(Routes!$D$7="ALL",COUNTIF(Routes!$D$7:$G$7,FAQs!$C37)&gt;0,AND(FAQs!$D37&lt;&gt;"",COUNTIF(Routes!$D$7:$G$7,FAQs!$D37)&gt;0)))),"●","")</f>
        <v/>
      </c>
      <c r="I37" s="12" t="str">
        <f aca="false">IF(OR(ISNUMBER(SEARCH(","&amp;I$1&amp;",",","&amp;SUBSTITUTE(FAQs!$G37," ","")&amp;",")),AND(OR(FAQs!$E37="both",Routes!$C$8="both",FAQs!$E37=Routes!$C$8),OR(Routes!$D$8="ALL",COUNTIF(Routes!$D$8:$G$8,FAQs!$C37)&gt;0,AND(FAQs!$D37&lt;&gt;"",COUNTIF(Routes!$D$8:$G$8,FAQs!$D37)&gt;0)))),"●","")</f>
        <v/>
      </c>
      <c r="J37" s="12" t="str">
        <f aca="false">IF(OR(ISNUMBER(SEARCH(","&amp;J$1&amp;",",","&amp;SUBSTITUTE(FAQs!$G37," ","")&amp;",")),AND(OR(FAQs!$E37="both",Routes!$C$9="both",FAQs!$E37=Routes!$C$9),OR(Routes!$D$9="ALL",COUNTIF(Routes!$D$9:$G$9,FAQs!$C37)&gt;0,AND(FAQs!$D37&lt;&gt;"",COUNTIF(Routes!$D$9:$G$9,FAQs!$D37)&gt;0)))),"●","")</f>
        <v>●</v>
      </c>
      <c r="K37" s="12" t="str">
        <f aca="false">IF(OR(ISNUMBER(SEARCH(","&amp;K$1&amp;",",","&amp;SUBSTITUTE(FAQs!$G37," ","")&amp;",")),AND(OR(FAQs!$E37="both",Routes!$C$10="both",FAQs!$E37=Routes!$C$10),OR(Routes!$D$10="ALL",COUNTIF(Routes!$D$10:$G$10,FAQs!$C37)&gt;0,AND(FAQs!$D37&lt;&gt;"",COUNTIF(Routes!$D$10:$G$10,FAQs!$D37)&gt;0)))),"●","")</f>
        <v>●</v>
      </c>
      <c r="L37" s="12" t="str">
        <f aca="false">IF(OR(ISNUMBER(SEARCH(","&amp;L$1&amp;",",","&amp;SUBSTITUTE(FAQs!$G37," ","")&amp;",")),AND(OR(FAQs!$E37="both",Routes!$C$11="both",FAQs!$E37=Routes!$C$11),OR(Routes!$D$11="ALL",COUNTIF(Routes!$D$11:$G$11,FAQs!$C37)&gt;0,AND(FAQs!$D37&lt;&gt;"",COUNTIF(Routes!$D$11:$G$11,FAQs!$D37)&gt;0)))),"●","")</f>
        <v/>
      </c>
      <c r="M37" s="12" t="str">
        <f aca="false">IF(OR(ISNUMBER(SEARCH(","&amp;M$1&amp;",",","&amp;SUBSTITUTE(FAQs!$G37," ","")&amp;",")),AND(OR(FAQs!$E37="both",Routes!$C$12="both",FAQs!$E37=Routes!$C$12),OR(Routes!$D$12="ALL",COUNTIF(Routes!$D$12:$G$12,FAQs!$C37)&gt;0,AND(FAQs!$D37&lt;&gt;"",COUNTIF(Routes!$D$12:$G$12,FAQs!$D37)&gt;0)))),"●","")</f>
        <v/>
      </c>
      <c r="N37" s="12" t="str">
        <f aca="false">IF(OR(ISNUMBER(SEARCH(","&amp;N$1&amp;",",","&amp;SUBSTITUTE(FAQs!$G37," ","")&amp;",")),AND(OR(FAQs!$E37="both",Routes!$C$13="both",FAQs!$E37=Routes!$C$13),OR(Routes!$D$13="ALL",COUNTIF(Routes!$D$13:$G$13,FAQs!$C37)&gt;0,AND(FAQs!$D37&lt;&gt;"",COUNTIF(Routes!$D$13:$G$13,FAQs!$D37)&gt;0)))),"●","")</f>
        <v/>
      </c>
      <c r="O37" s="12" t="str">
        <f aca="false">IF(OR(ISNUMBER(SEARCH(","&amp;O$1&amp;",",","&amp;SUBSTITUTE(FAQs!$G37," ","")&amp;",")),AND(OR(FAQs!$E37="both",Routes!$C$14="both",FAQs!$E37=Routes!$C$14),OR(Routes!$D$14="ALL",COUNTIF(Routes!$D$14:$G$14,FAQs!$C37)&gt;0,AND(FAQs!$D37&lt;&gt;"",COUNTIF(Routes!$D$14:$G$14,FAQs!$D37)&gt;0)))),"●","")</f>
        <v>●</v>
      </c>
      <c r="P37" s="12" t="str">
        <f aca="false">IF(OR(ISNUMBER(SEARCH(","&amp;P$1&amp;",",","&amp;SUBSTITUTE(FAQs!$G37," ","")&amp;",")),AND(OR(FAQs!$E37="both",Routes!$C$15="both",FAQs!$E37=Routes!$C$15),OR(Routes!$D$15="ALL",COUNTIF(Routes!$D$15:$G$15,FAQs!$C37)&gt;0,AND(FAQs!$D37&lt;&gt;"",COUNTIF(Routes!$D$15:$G$15,FAQs!$D37)&gt;0)))),"●","")</f>
        <v/>
      </c>
      <c r="Q37" s="12" t="str">
        <f aca="false">IF(OR(ISNUMBER(SEARCH(","&amp;Q$1&amp;",",","&amp;SUBSTITUTE(FAQs!$G37," ","")&amp;",")),AND(OR(FAQs!$E37="both",Routes!$C$16="both",FAQs!$E37=Routes!$C$16),OR(Routes!$D$16="ALL",COUNTIF(Routes!$D$16:$G$16,FAQs!$C37)&gt;0,AND(FAQs!$D37&lt;&gt;"",COUNTIF(Routes!$D$16:$G$16,FAQs!$D37)&gt;0)))),"●","")</f>
        <v/>
      </c>
      <c r="R37" s="12" t="str">
        <f aca="false">IF(OR(ISNUMBER(SEARCH(","&amp;R$1&amp;",",","&amp;SUBSTITUTE(FAQs!$G37," ","")&amp;",")),AND(OR(FAQs!$E37="both",Routes!$C$17="both",FAQs!$E37=Routes!$C$17),OR(Routes!$D$17="ALL",COUNTIF(Routes!$D$17:$G$17,FAQs!$C37)&gt;0,AND(FAQs!$D37&lt;&gt;"",COUNTIF(Routes!$D$17:$G$17,FAQs!$D37)&gt;0)))),"●","")</f>
        <v/>
      </c>
      <c r="S37" s="12" t="str">
        <f aca="false">IF(OR(ISNUMBER(SEARCH(","&amp;S$1&amp;",",","&amp;SUBSTITUTE(FAQs!$G37," ","")&amp;",")),AND(OR(FAQs!$E37="both",Routes!$C$18="both",FAQs!$E37=Routes!$C$18),OR(Routes!$D$18="ALL",COUNTIF(Routes!$D$18:$G$18,FAQs!$C37)&gt;0,AND(FAQs!$D37&lt;&gt;"",COUNTIF(Routes!$D$18:$G$18,FAQs!$D37)&gt;0)))),"●","")</f>
        <v/>
      </c>
      <c r="T37" s="12" t="str">
        <f aca="false">IF(OR(ISNUMBER(SEARCH(","&amp;T$1&amp;",",","&amp;SUBSTITUTE(FAQs!$G37," ","")&amp;",")),AND(OR(FAQs!$E37="both",Routes!$C$19="both",FAQs!$E37=Routes!$C$19),OR(Routes!$D$19="ALL",COUNTIF(Routes!$D$19:$G$19,FAQs!$C37)&gt;0,AND(FAQs!$D37&lt;&gt;"",COUNTIF(Routes!$D$19:$G$19,FAQs!$D37)&gt;0)))),"●","")</f>
        <v/>
      </c>
      <c r="U37" s="9" t="n">
        <f aca="false">COUNTIF(C37:T37,"●")</f>
        <v>3</v>
      </c>
    </row>
    <row r="38" customFormat="false" ht="15" hidden="false" customHeight="false" outlineLevel="0" collapsed="false">
      <c r="A38" s="9" t="str">
        <f aca="false">FAQs!A38</f>
        <v>F37</v>
      </c>
      <c r="B38" s="9" t="str">
        <f aca="false">FAQs!H38</f>
        <v>How do I change a prepayment invoice?</v>
      </c>
      <c r="C38" s="12" t="str">
        <f aca="false">IF(OR(ISNUMBER(SEARCH(","&amp;C$1&amp;",",","&amp;SUBSTITUTE(FAQs!$G38," ","")&amp;",")),AND(OR(FAQs!$E38="both",Routes!$C$2="both",FAQs!$E38=Routes!$C$2),OR(Routes!$D$2="ALL",COUNTIF(Routes!$D$2:$G$2,FAQs!$C38)&gt;0,AND(FAQs!$D38&lt;&gt;"",COUNTIF(Routes!$D$2:$G$2,FAQs!$D38)&gt;0)))),"●","")</f>
        <v>●</v>
      </c>
      <c r="D38" s="12" t="str">
        <f aca="false">IF(OR(ISNUMBER(SEARCH(","&amp;D$1&amp;",",","&amp;SUBSTITUTE(FAQs!$G38," ","")&amp;",")),AND(OR(FAQs!$E38="both",Routes!$C$3="both",FAQs!$E38=Routes!$C$3),OR(Routes!$D$3="ALL",COUNTIF(Routes!$D$3:$G$3,FAQs!$C38)&gt;0,AND(FAQs!$D38&lt;&gt;"",COUNTIF(Routes!$D$3:$G$3,FAQs!$D38)&gt;0)))),"●","")</f>
        <v/>
      </c>
      <c r="E38" s="12" t="str">
        <f aca="false">IF(OR(ISNUMBER(SEARCH(","&amp;E$1&amp;",",","&amp;SUBSTITUTE(FAQs!$G38," ","")&amp;",")),AND(OR(FAQs!$E38="both",Routes!$C$4="both",FAQs!$E38=Routes!$C$4),OR(Routes!$D$4="ALL",COUNTIF(Routes!$D$4:$G$4,FAQs!$C38)&gt;0,AND(FAQs!$D38&lt;&gt;"",COUNTIF(Routes!$D$4:$G$4,FAQs!$D38)&gt;0)))),"●","")</f>
        <v/>
      </c>
      <c r="F38" s="12" t="str">
        <f aca="false">IF(OR(ISNUMBER(SEARCH(","&amp;F$1&amp;",",","&amp;SUBSTITUTE(FAQs!$G38," ","")&amp;",")),AND(OR(FAQs!$E38="both",Routes!$C$5="both",FAQs!$E38=Routes!$C$5),OR(Routes!$D$5="ALL",COUNTIF(Routes!$D$5:$G$5,FAQs!$C38)&gt;0,AND(FAQs!$D38&lt;&gt;"",COUNTIF(Routes!$D$5:$G$5,FAQs!$D38)&gt;0)))),"●","")</f>
        <v/>
      </c>
      <c r="G38" s="12" t="str">
        <f aca="false">IF(OR(ISNUMBER(SEARCH(","&amp;G$1&amp;",",","&amp;SUBSTITUTE(FAQs!$G38," ","")&amp;",")),AND(OR(FAQs!$E38="both",Routes!$C$6="both",FAQs!$E38=Routes!$C$6),OR(Routes!$D$6="ALL",COUNTIF(Routes!$D$6:$G$6,FAQs!$C38)&gt;0,AND(FAQs!$D38&lt;&gt;"",COUNTIF(Routes!$D$6:$G$6,FAQs!$D38)&gt;0)))),"●","")</f>
        <v/>
      </c>
      <c r="H38" s="12" t="str">
        <f aca="false">IF(OR(ISNUMBER(SEARCH(","&amp;H$1&amp;",",","&amp;SUBSTITUTE(FAQs!$G38," ","")&amp;",")),AND(OR(FAQs!$E38="both",Routes!$C$7="both",FAQs!$E38=Routes!$C$7),OR(Routes!$D$7="ALL",COUNTIF(Routes!$D$7:$G$7,FAQs!$C38)&gt;0,AND(FAQs!$D38&lt;&gt;"",COUNTIF(Routes!$D$7:$G$7,FAQs!$D38)&gt;0)))),"●","")</f>
        <v/>
      </c>
      <c r="I38" s="12" t="str">
        <f aca="false">IF(OR(ISNUMBER(SEARCH(","&amp;I$1&amp;",",","&amp;SUBSTITUTE(FAQs!$G38," ","")&amp;",")),AND(OR(FAQs!$E38="both",Routes!$C$8="both",FAQs!$E38=Routes!$C$8),OR(Routes!$D$8="ALL",COUNTIF(Routes!$D$8:$G$8,FAQs!$C38)&gt;0,AND(FAQs!$D38&lt;&gt;"",COUNTIF(Routes!$D$8:$G$8,FAQs!$D38)&gt;0)))),"●","")</f>
        <v/>
      </c>
      <c r="J38" s="12" t="str">
        <f aca="false">IF(OR(ISNUMBER(SEARCH(","&amp;J$1&amp;",",","&amp;SUBSTITUTE(FAQs!$G38," ","")&amp;",")),AND(OR(FAQs!$E38="both",Routes!$C$9="both",FAQs!$E38=Routes!$C$9),OR(Routes!$D$9="ALL",COUNTIF(Routes!$D$9:$G$9,FAQs!$C38)&gt;0,AND(FAQs!$D38&lt;&gt;"",COUNTIF(Routes!$D$9:$G$9,FAQs!$D38)&gt;0)))),"●","")</f>
        <v>●</v>
      </c>
      <c r="K38" s="12" t="str">
        <f aca="false">IF(OR(ISNUMBER(SEARCH(","&amp;K$1&amp;",",","&amp;SUBSTITUTE(FAQs!$G38," ","")&amp;",")),AND(OR(FAQs!$E38="both",Routes!$C$10="both",FAQs!$E38=Routes!$C$10),OR(Routes!$D$10="ALL",COUNTIF(Routes!$D$10:$G$10,FAQs!$C38)&gt;0,AND(FAQs!$D38&lt;&gt;"",COUNTIF(Routes!$D$10:$G$10,FAQs!$D38)&gt;0)))),"●","")</f>
        <v>●</v>
      </c>
      <c r="L38" s="12" t="str">
        <f aca="false">IF(OR(ISNUMBER(SEARCH(","&amp;L$1&amp;",",","&amp;SUBSTITUTE(FAQs!$G38," ","")&amp;",")),AND(OR(FAQs!$E38="both",Routes!$C$11="both",FAQs!$E38=Routes!$C$11),OR(Routes!$D$11="ALL",COUNTIF(Routes!$D$11:$G$11,FAQs!$C38)&gt;0,AND(FAQs!$D38&lt;&gt;"",COUNTIF(Routes!$D$11:$G$11,FAQs!$D38)&gt;0)))),"●","")</f>
        <v/>
      </c>
      <c r="M38" s="12" t="str">
        <f aca="false">IF(OR(ISNUMBER(SEARCH(","&amp;M$1&amp;",",","&amp;SUBSTITUTE(FAQs!$G38," ","")&amp;",")),AND(OR(FAQs!$E38="both",Routes!$C$12="both",FAQs!$E38=Routes!$C$12),OR(Routes!$D$12="ALL",COUNTIF(Routes!$D$12:$G$12,FAQs!$C38)&gt;0,AND(FAQs!$D38&lt;&gt;"",COUNTIF(Routes!$D$12:$G$12,FAQs!$D38)&gt;0)))),"●","")</f>
        <v/>
      </c>
      <c r="N38" s="12" t="str">
        <f aca="false">IF(OR(ISNUMBER(SEARCH(","&amp;N$1&amp;",",","&amp;SUBSTITUTE(FAQs!$G38," ","")&amp;",")),AND(OR(FAQs!$E38="both",Routes!$C$13="both",FAQs!$E38=Routes!$C$13),OR(Routes!$D$13="ALL",COUNTIF(Routes!$D$13:$G$13,FAQs!$C38)&gt;0,AND(FAQs!$D38&lt;&gt;"",COUNTIF(Routes!$D$13:$G$13,FAQs!$D38)&gt;0)))),"●","")</f>
        <v/>
      </c>
      <c r="O38" s="12" t="str">
        <f aca="false">IF(OR(ISNUMBER(SEARCH(","&amp;O$1&amp;",",","&amp;SUBSTITUTE(FAQs!$G38," ","")&amp;",")),AND(OR(FAQs!$E38="both",Routes!$C$14="both",FAQs!$E38=Routes!$C$14),OR(Routes!$D$14="ALL",COUNTIF(Routes!$D$14:$G$14,FAQs!$C38)&gt;0,AND(FAQs!$D38&lt;&gt;"",COUNTIF(Routes!$D$14:$G$14,FAQs!$D38)&gt;0)))),"●","")</f>
        <v>●</v>
      </c>
      <c r="P38" s="12" t="str">
        <f aca="false">IF(OR(ISNUMBER(SEARCH(","&amp;P$1&amp;",",","&amp;SUBSTITUTE(FAQs!$G38," ","")&amp;",")),AND(OR(FAQs!$E38="both",Routes!$C$15="both",FAQs!$E38=Routes!$C$15),OR(Routes!$D$15="ALL",COUNTIF(Routes!$D$15:$G$15,FAQs!$C38)&gt;0,AND(FAQs!$D38&lt;&gt;"",COUNTIF(Routes!$D$15:$G$15,FAQs!$D38)&gt;0)))),"●","")</f>
        <v/>
      </c>
      <c r="Q38" s="12" t="str">
        <f aca="false">IF(OR(ISNUMBER(SEARCH(","&amp;Q$1&amp;",",","&amp;SUBSTITUTE(FAQs!$G38," ","")&amp;",")),AND(OR(FAQs!$E38="both",Routes!$C$16="both",FAQs!$E38=Routes!$C$16),OR(Routes!$D$16="ALL",COUNTIF(Routes!$D$16:$G$16,FAQs!$C38)&gt;0,AND(FAQs!$D38&lt;&gt;"",COUNTIF(Routes!$D$16:$G$16,FAQs!$D38)&gt;0)))),"●","")</f>
        <v/>
      </c>
      <c r="R38" s="12" t="str">
        <f aca="false">IF(OR(ISNUMBER(SEARCH(","&amp;R$1&amp;",",","&amp;SUBSTITUTE(FAQs!$G38," ","")&amp;",")),AND(OR(FAQs!$E38="both",Routes!$C$17="both",FAQs!$E38=Routes!$C$17),OR(Routes!$D$17="ALL",COUNTIF(Routes!$D$17:$G$17,FAQs!$C38)&gt;0,AND(FAQs!$D38&lt;&gt;"",COUNTIF(Routes!$D$17:$G$17,FAQs!$D38)&gt;0)))),"●","")</f>
        <v/>
      </c>
      <c r="S38" s="12" t="str">
        <f aca="false">IF(OR(ISNUMBER(SEARCH(","&amp;S$1&amp;",",","&amp;SUBSTITUTE(FAQs!$G38," ","")&amp;",")),AND(OR(FAQs!$E38="both",Routes!$C$18="both",FAQs!$E38=Routes!$C$18),OR(Routes!$D$18="ALL",COUNTIF(Routes!$D$18:$G$18,FAQs!$C38)&gt;0,AND(FAQs!$D38&lt;&gt;"",COUNTIF(Routes!$D$18:$G$18,FAQs!$D38)&gt;0)))),"●","")</f>
        <v/>
      </c>
      <c r="T38" s="12" t="str">
        <f aca="false">IF(OR(ISNUMBER(SEARCH(","&amp;T$1&amp;",",","&amp;SUBSTITUTE(FAQs!$G38," ","")&amp;",")),AND(OR(FAQs!$E38="both",Routes!$C$19="both",FAQs!$E38=Routes!$C$19),OR(Routes!$D$19="ALL",COUNTIF(Routes!$D$19:$G$19,FAQs!$C38)&gt;0,AND(FAQs!$D38&lt;&gt;"",COUNTIF(Routes!$D$19:$G$19,FAQs!$D38)&gt;0)))),"●","")</f>
        <v>●</v>
      </c>
      <c r="U38" s="9" t="n">
        <f aca="false">COUNTIF(C38:T38,"●")</f>
        <v>5</v>
      </c>
    </row>
    <row r="39" customFormat="false" ht="15" hidden="false" customHeight="false" outlineLevel="0" collapsed="false">
      <c r="A39" s="9" t="str">
        <f aca="false">FAQs!A39</f>
        <v>F38</v>
      </c>
      <c r="B39" s="9" t="str">
        <f aca="false">FAQs!H39</f>
        <v>Who is the contact for sustainability?</v>
      </c>
      <c r="C39" s="12" t="str">
        <f aca="false">IF(OR(ISNUMBER(SEARCH(","&amp;C$1&amp;",",","&amp;SUBSTITUTE(FAQs!$G39," ","")&amp;",")),AND(OR(FAQs!$E39="both",Routes!$C$2="both",FAQs!$E39=Routes!$C$2),OR(Routes!$D$2="ALL",COUNTIF(Routes!$D$2:$G$2,FAQs!$C39)&gt;0,AND(FAQs!$D39&lt;&gt;"",COUNTIF(Routes!$D$2:$G$2,FAQs!$D39)&gt;0)))),"●","")</f>
        <v/>
      </c>
      <c r="D39" s="12" t="str">
        <f aca="false">IF(OR(ISNUMBER(SEARCH(","&amp;D$1&amp;",",","&amp;SUBSTITUTE(FAQs!$G39," ","")&amp;",")),AND(OR(FAQs!$E39="both",Routes!$C$3="both",FAQs!$E39=Routes!$C$3),OR(Routes!$D$3="ALL",COUNTIF(Routes!$D$3:$G$3,FAQs!$C39)&gt;0,AND(FAQs!$D39&lt;&gt;"",COUNTIF(Routes!$D$3:$G$3,FAQs!$D39)&gt;0)))),"●","")</f>
        <v/>
      </c>
      <c r="E39" s="12" t="str">
        <f aca="false">IF(OR(ISNUMBER(SEARCH(","&amp;E$1&amp;",",","&amp;SUBSTITUTE(FAQs!$G39," ","")&amp;",")),AND(OR(FAQs!$E39="both",Routes!$C$4="both",FAQs!$E39=Routes!$C$4),OR(Routes!$D$4="ALL",COUNTIF(Routes!$D$4:$G$4,FAQs!$C39)&gt;0,AND(FAQs!$D39&lt;&gt;"",COUNTIF(Routes!$D$4:$G$4,FAQs!$D39)&gt;0)))),"●","")</f>
        <v/>
      </c>
      <c r="F39" s="12" t="str">
        <f aca="false">IF(OR(ISNUMBER(SEARCH(","&amp;F$1&amp;",",","&amp;SUBSTITUTE(FAQs!$G39," ","")&amp;",")),AND(OR(FAQs!$E39="both",Routes!$C$5="both",FAQs!$E39=Routes!$C$5),OR(Routes!$D$5="ALL",COUNTIF(Routes!$D$5:$G$5,FAQs!$C39)&gt;0,AND(FAQs!$D39&lt;&gt;"",COUNTIF(Routes!$D$5:$G$5,FAQs!$D39)&gt;0)))),"●","")</f>
        <v>●</v>
      </c>
      <c r="G39" s="12" t="str">
        <f aca="false">IF(OR(ISNUMBER(SEARCH(","&amp;G$1&amp;",",","&amp;SUBSTITUTE(FAQs!$G39," ","")&amp;",")),AND(OR(FAQs!$E39="both",Routes!$C$6="both",FAQs!$E39=Routes!$C$6),OR(Routes!$D$6="ALL",COUNTIF(Routes!$D$6:$G$6,FAQs!$C39)&gt;0,AND(FAQs!$D39&lt;&gt;"",COUNTIF(Routes!$D$6:$G$6,FAQs!$D39)&gt;0)))),"●","")</f>
        <v/>
      </c>
      <c r="H39" s="12" t="str">
        <f aca="false">IF(OR(ISNUMBER(SEARCH(","&amp;H$1&amp;",",","&amp;SUBSTITUTE(FAQs!$G39," ","")&amp;",")),AND(OR(FAQs!$E39="both",Routes!$C$7="both",FAQs!$E39=Routes!$C$7),OR(Routes!$D$7="ALL",COUNTIF(Routes!$D$7:$G$7,FAQs!$C39)&gt;0,AND(FAQs!$D39&lt;&gt;"",COUNTIF(Routes!$D$7:$G$7,FAQs!$D39)&gt;0)))),"●","")</f>
        <v>●</v>
      </c>
      <c r="I39" s="12" t="str">
        <f aca="false">IF(OR(ISNUMBER(SEARCH(","&amp;I$1&amp;",",","&amp;SUBSTITUTE(FAQs!$G39," ","")&amp;",")),AND(OR(FAQs!$E39="both",Routes!$C$8="both",FAQs!$E39=Routes!$C$8),OR(Routes!$D$8="ALL",COUNTIF(Routes!$D$8:$G$8,FAQs!$C39)&gt;0,AND(FAQs!$D39&lt;&gt;"",COUNTIF(Routes!$D$8:$G$8,FAQs!$D39)&gt;0)))),"●","")</f>
        <v/>
      </c>
      <c r="J39" s="12" t="str">
        <f aca="false">IF(OR(ISNUMBER(SEARCH(","&amp;J$1&amp;",",","&amp;SUBSTITUTE(FAQs!$G39," ","")&amp;",")),AND(OR(FAQs!$E39="both",Routes!$C$9="both",FAQs!$E39=Routes!$C$9),OR(Routes!$D$9="ALL",COUNTIF(Routes!$D$9:$G$9,FAQs!$C39)&gt;0,AND(FAQs!$D39&lt;&gt;"",COUNTIF(Routes!$D$9:$G$9,FAQs!$D39)&gt;0)))),"●","")</f>
        <v>●</v>
      </c>
      <c r="K39" s="12" t="str">
        <f aca="false">IF(OR(ISNUMBER(SEARCH(","&amp;K$1&amp;",",","&amp;SUBSTITUTE(FAQs!$G39," ","")&amp;",")),AND(OR(FAQs!$E39="both",Routes!$C$10="both",FAQs!$E39=Routes!$C$10),OR(Routes!$D$10="ALL",COUNTIF(Routes!$D$10:$G$10,FAQs!$C39)&gt;0,AND(FAQs!$D39&lt;&gt;"",COUNTIF(Routes!$D$10:$G$10,FAQs!$D39)&gt;0)))),"●","")</f>
        <v>●</v>
      </c>
      <c r="L39" s="12" t="str">
        <f aca="false">IF(OR(ISNUMBER(SEARCH(","&amp;L$1&amp;",",","&amp;SUBSTITUTE(FAQs!$G39," ","")&amp;",")),AND(OR(FAQs!$E39="both",Routes!$C$11="both",FAQs!$E39=Routes!$C$11),OR(Routes!$D$11="ALL",COUNTIF(Routes!$D$11:$G$11,FAQs!$C39)&gt;0,AND(FAQs!$D39&lt;&gt;"",COUNTIF(Routes!$D$11:$G$11,FAQs!$D39)&gt;0)))),"●","")</f>
        <v/>
      </c>
      <c r="M39" s="12" t="str">
        <f aca="false">IF(OR(ISNUMBER(SEARCH(","&amp;M$1&amp;",",","&amp;SUBSTITUTE(FAQs!$G39," ","")&amp;",")),AND(OR(FAQs!$E39="both",Routes!$C$12="both",FAQs!$E39=Routes!$C$12),OR(Routes!$D$12="ALL",COUNTIF(Routes!$D$12:$G$12,FAQs!$C39)&gt;0,AND(FAQs!$D39&lt;&gt;"",COUNTIF(Routes!$D$12:$G$12,FAQs!$D39)&gt;0)))),"●","")</f>
        <v/>
      </c>
      <c r="N39" s="12" t="str">
        <f aca="false">IF(OR(ISNUMBER(SEARCH(","&amp;N$1&amp;",",","&amp;SUBSTITUTE(FAQs!$G39," ","")&amp;",")),AND(OR(FAQs!$E39="both",Routes!$C$13="both",FAQs!$E39=Routes!$C$13),OR(Routes!$D$13="ALL",COUNTIF(Routes!$D$13:$G$13,FAQs!$C39)&gt;0,AND(FAQs!$D39&lt;&gt;"",COUNTIF(Routes!$D$13:$G$13,FAQs!$D39)&gt;0)))),"●","")</f>
        <v/>
      </c>
      <c r="O39" s="12" t="str">
        <f aca="false">IF(OR(ISNUMBER(SEARCH(","&amp;O$1&amp;",",","&amp;SUBSTITUTE(FAQs!$G39," ","")&amp;",")),AND(OR(FAQs!$E39="both",Routes!$C$14="both",FAQs!$E39=Routes!$C$14),OR(Routes!$D$14="ALL",COUNTIF(Routes!$D$14:$G$14,FAQs!$C39)&gt;0,AND(FAQs!$D39&lt;&gt;"",COUNTIF(Routes!$D$14:$G$14,FAQs!$D39)&gt;0)))),"●","")</f>
        <v>●</v>
      </c>
      <c r="P39" s="12" t="str">
        <f aca="false">IF(OR(ISNUMBER(SEARCH(","&amp;P$1&amp;",",","&amp;SUBSTITUTE(FAQs!$G39," ","")&amp;",")),AND(OR(FAQs!$E39="both",Routes!$C$15="both",FAQs!$E39=Routes!$C$15),OR(Routes!$D$15="ALL",COUNTIF(Routes!$D$15:$G$15,FAQs!$C39)&gt;0,AND(FAQs!$D39&lt;&gt;"",COUNTIF(Routes!$D$15:$G$15,FAQs!$D39)&gt;0)))),"●","")</f>
        <v/>
      </c>
      <c r="Q39" s="12" t="str">
        <f aca="false">IF(OR(ISNUMBER(SEARCH(","&amp;Q$1&amp;",",","&amp;SUBSTITUTE(FAQs!$G39," ","")&amp;",")),AND(OR(FAQs!$E39="both",Routes!$C$16="both",FAQs!$E39=Routes!$C$16),OR(Routes!$D$16="ALL",COUNTIF(Routes!$D$16:$G$16,FAQs!$C39)&gt;0,AND(FAQs!$D39&lt;&gt;"",COUNTIF(Routes!$D$16:$G$16,FAQs!$D39)&gt;0)))),"●","")</f>
        <v/>
      </c>
      <c r="R39" s="12" t="str">
        <f aca="false">IF(OR(ISNUMBER(SEARCH(","&amp;R$1&amp;",",","&amp;SUBSTITUTE(FAQs!$G39," ","")&amp;",")),AND(OR(FAQs!$E39="both",Routes!$C$17="both",FAQs!$E39=Routes!$C$17),OR(Routes!$D$17="ALL",COUNTIF(Routes!$D$17:$G$17,FAQs!$C39)&gt;0,AND(FAQs!$D39&lt;&gt;"",COUNTIF(Routes!$D$17:$G$17,FAQs!$D39)&gt;0)))),"●","")</f>
        <v/>
      </c>
      <c r="S39" s="12" t="str">
        <f aca="false">IF(OR(ISNUMBER(SEARCH(","&amp;S$1&amp;",",","&amp;SUBSTITUTE(FAQs!$G39," ","")&amp;",")),AND(OR(FAQs!$E39="both",Routes!$C$18="both",FAQs!$E39=Routes!$C$18),OR(Routes!$D$18="ALL",COUNTIF(Routes!$D$18:$G$18,FAQs!$C39)&gt;0,AND(FAQs!$D39&lt;&gt;"",COUNTIF(Routes!$D$18:$G$18,FAQs!$D39)&gt;0)))),"●","")</f>
        <v/>
      </c>
      <c r="T39" s="12" t="str">
        <f aca="false">IF(OR(ISNUMBER(SEARCH(","&amp;T$1&amp;",",","&amp;SUBSTITUTE(FAQs!$G39," ","")&amp;",")),AND(OR(FAQs!$E39="both",Routes!$C$19="both",FAQs!$E39=Routes!$C$19),OR(Routes!$D$19="ALL",COUNTIF(Routes!$D$19:$G$19,FAQs!$C39)&gt;0,AND(FAQs!$D39&lt;&gt;"",COUNTIF(Routes!$D$19:$G$19,FAQs!$D39)&gt;0)))),"●","")</f>
        <v/>
      </c>
      <c r="U39" s="9" t="n">
        <f aca="false">COUNTIF(C39:T39,"●")</f>
        <v>5</v>
      </c>
    </row>
  </sheetData>
  <conditionalFormatting sqref="C2:T39">
    <cfRule type="cellIs" priority="2" operator="equal" aboveAverage="0" equalAverage="0" bottom="0" percent="0" rank="0" text="" dxfId="10">
      <formula>"●"</formula>
    </cfRule>
  </conditionalFormatting>
  <conditionalFormatting sqref="U2:U39">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8"/>
    <col collapsed="false" customWidth="true" hidden="false" outlineLevel="0" max="3" min="3" style="0" width="16"/>
    <col collapsed="false" customWidth="true" hidden="false" outlineLevel="0" max="4" min="4" style="0" width="60"/>
    <col collapsed="false" customWidth="true" hidden="false" outlineLevel="0" max="5" min="5" style="0" width="36"/>
    <col collapsed="false" customWidth="true" hidden="false" outlineLevel="0" max="6" min="6" style="0" width="12"/>
  </cols>
  <sheetData>
    <row r="1" customFormat="false" ht="15" hidden="false" customHeight="false" outlineLevel="0" collapsed="false">
      <c r="A1" s="6" t="s">
        <v>26</v>
      </c>
      <c r="B1" s="6" t="s">
        <v>559</v>
      </c>
      <c r="C1" s="6" t="s">
        <v>28</v>
      </c>
      <c r="D1" s="6" t="s">
        <v>560</v>
      </c>
      <c r="E1" s="6" t="s">
        <v>561</v>
      </c>
      <c r="F1" s="6" t="s">
        <v>37</v>
      </c>
    </row>
    <row r="2" customFormat="false" ht="23.85" hidden="false" customHeight="false" outlineLevel="0" collapsed="false">
      <c r="A2" s="7" t="s">
        <v>562</v>
      </c>
      <c r="B2" s="7" t="s">
        <v>563</v>
      </c>
      <c r="C2" s="7" t="s">
        <v>389</v>
      </c>
      <c r="D2" s="7" t="s">
        <v>564</v>
      </c>
      <c r="E2" s="7" t="s">
        <v>565</v>
      </c>
      <c r="F2" s="7" t="s">
        <v>566</v>
      </c>
    </row>
    <row r="3" customFormat="false" ht="23.85" hidden="false" customHeight="false" outlineLevel="0" collapsed="false">
      <c r="A3" s="7" t="s">
        <v>567</v>
      </c>
      <c r="B3" s="7" t="s">
        <v>568</v>
      </c>
      <c r="C3" s="7" t="s">
        <v>144</v>
      </c>
      <c r="D3" s="7" t="s">
        <v>569</v>
      </c>
      <c r="E3" s="7" t="s">
        <v>570</v>
      </c>
      <c r="F3" s="7" t="s">
        <v>566</v>
      </c>
    </row>
    <row r="4" customFormat="false" ht="15" hidden="false" customHeight="false" outlineLevel="0" collapsed="false">
      <c r="A4" s="7" t="s">
        <v>571</v>
      </c>
      <c r="B4" s="7" t="s">
        <v>572</v>
      </c>
      <c r="C4" s="7" t="s">
        <v>144</v>
      </c>
      <c r="D4" s="7" t="s">
        <v>573</v>
      </c>
      <c r="E4" s="7" t="s">
        <v>574</v>
      </c>
      <c r="F4" s="7" t="s">
        <v>566</v>
      </c>
    </row>
    <row r="5" customFormat="false" ht="15" hidden="false" customHeight="false" outlineLevel="0" collapsed="false">
      <c r="A5" s="7" t="s">
        <v>575</v>
      </c>
      <c r="B5" s="7" t="s">
        <v>576</v>
      </c>
      <c r="C5" s="7" t="s">
        <v>97</v>
      </c>
      <c r="D5" s="7" t="s">
        <v>577</v>
      </c>
      <c r="E5" s="7" t="s">
        <v>570</v>
      </c>
      <c r="F5" s="7" t="s">
        <v>566</v>
      </c>
    </row>
    <row r="6" customFormat="false" ht="15" hidden="false" customHeight="false" outlineLevel="0" collapsed="false">
      <c r="A6" s="7" t="s">
        <v>578</v>
      </c>
      <c r="B6" s="7" t="s">
        <v>579</v>
      </c>
      <c r="C6" s="7" t="s">
        <v>119</v>
      </c>
      <c r="D6" s="7" t="s">
        <v>580</v>
      </c>
      <c r="E6" s="7" t="s">
        <v>570</v>
      </c>
      <c r="F6" s="7" t="s">
        <v>566</v>
      </c>
    </row>
    <row r="7" customFormat="false" ht="15" hidden="false" customHeight="false" outlineLevel="0" collapsed="false">
      <c r="A7" s="7" t="s">
        <v>581</v>
      </c>
      <c r="B7" s="7" t="s">
        <v>582</v>
      </c>
      <c r="C7" s="7" t="s">
        <v>144</v>
      </c>
      <c r="D7" s="7" t="s">
        <v>583</v>
      </c>
      <c r="E7" s="7" t="s">
        <v>570</v>
      </c>
      <c r="F7" s="7" t="s">
        <v>566</v>
      </c>
    </row>
    <row r="8" customFormat="false" ht="23.85" hidden="false" customHeight="false" outlineLevel="0" collapsed="false">
      <c r="A8" s="7" t="s">
        <v>584</v>
      </c>
      <c r="B8" s="7" t="s">
        <v>585</v>
      </c>
      <c r="C8" s="7" t="s">
        <v>80</v>
      </c>
      <c r="D8" s="7" t="s">
        <v>586</v>
      </c>
      <c r="E8" s="7" t="s">
        <v>587</v>
      </c>
      <c r="F8" s="7" t="s">
        <v>566</v>
      </c>
    </row>
    <row r="9" customFormat="false" ht="15" hidden="false" customHeight="false" outlineLevel="0" collapsed="false">
      <c r="A9" s="7" t="s">
        <v>588</v>
      </c>
      <c r="B9" s="7" t="s">
        <v>589</v>
      </c>
      <c r="C9" s="7" t="s">
        <v>80</v>
      </c>
      <c r="D9" s="7" t="s">
        <v>590</v>
      </c>
      <c r="E9" s="7" t="s">
        <v>591</v>
      </c>
      <c r="F9" s="7" t="s">
        <v>566</v>
      </c>
    </row>
    <row r="10" customFormat="false" ht="15" hidden="false" customHeight="false" outlineLevel="0" collapsed="false">
      <c r="A10" s="7" t="s">
        <v>592</v>
      </c>
      <c r="B10" s="7" t="s">
        <v>593</v>
      </c>
      <c r="C10" s="7" t="s">
        <v>41</v>
      </c>
      <c r="D10" s="7" t="s">
        <v>594</v>
      </c>
      <c r="E10" s="7" t="s">
        <v>570</v>
      </c>
      <c r="F10" s="7" t="s">
        <v>566</v>
      </c>
    </row>
    <row r="11" customFormat="false" ht="15" hidden="false" customHeight="false" outlineLevel="0" collapsed="false">
      <c r="A11" s="7" t="s">
        <v>595</v>
      </c>
      <c r="B11" s="7" t="s">
        <v>596</v>
      </c>
      <c r="C11" s="7" t="s">
        <v>41</v>
      </c>
      <c r="D11" s="7" t="s">
        <v>597</v>
      </c>
      <c r="E11" s="7" t="s">
        <v>570</v>
      </c>
      <c r="F11" s="7" t="s">
        <v>566</v>
      </c>
    </row>
    <row r="12" customFormat="false" ht="15" hidden="false" customHeight="false" outlineLevel="0" collapsed="false">
      <c r="A12" s="7" t="s">
        <v>598</v>
      </c>
      <c r="B12" s="7" t="s">
        <v>599</v>
      </c>
      <c r="C12" s="7" t="s">
        <v>202</v>
      </c>
      <c r="D12" s="7" t="s">
        <v>600</v>
      </c>
      <c r="E12" s="7" t="s">
        <v>570</v>
      </c>
      <c r="F12" s="7" t="s">
        <v>566</v>
      </c>
    </row>
    <row r="13" customFormat="false" ht="23.85" hidden="false" customHeight="false" outlineLevel="0" collapsed="false">
      <c r="A13" s="7" t="s">
        <v>601</v>
      </c>
      <c r="B13" s="7" t="s">
        <v>602</v>
      </c>
      <c r="C13" s="7" t="s">
        <v>97</v>
      </c>
      <c r="D13" s="7" t="s">
        <v>603</v>
      </c>
      <c r="E13" s="7" t="s">
        <v>604</v>
      </c>
      <c r="F13" s="7" t="s">
        <v>566</v>
      </c>
    </row>
    <row r="14" customFormat="false" ht="15" hidden="false" customHeight="false" outlineLevel="0" collapsed="false">
      <c r="A14" s="7" t="s">
        <v>605</v>
      </c>
      <c r="B14" s="7" t="s">
        <v>606</v>
      </c>
      <c r="C14" s="7" t="s">
        <v>79</v>
      </c>
      <c r="D14" s="7" t="s">
        <v>607</v>
      </c>
      <c r="E14" s="7" t="s">
        <v>570</v>
      </c>
      <c r="F14" s="7" t="s">
        <v>566</v>
      </c>
    </row>
    <row r="15" customFormat="false" ht="15" hidden="false" customHeight="false" outlineLevel="0" collapsed="false">
      <c r="A15" s="7" t="s">
        <v>608</v>
      </c>
      <c r="B15" s="7" t="s">
        <v>609</v>
      </c>
      <c r="C15" s="7" t="s">
        <v>119</v>
      </c>
      <c r="D15" s="7" t="s">
        <v>603</v>
      </c>
      <c r="E15" s="7" t="s">
        <v>570</v>
      </c>
      <c r="F15" s="7" t="s">
        <v>566</v>
      </c>
    </row>
    <row r="16" customFormat="false" ht="15" hidden="false" customHeight="false" outlineLevel="0" collapsed="false">
      <c r="A16" s="7" t="s">
        <v>610</v>
      </c>
      <c r="B16" s="7" t="s">
        <v>611</v>
      </c>
      <c r="C16" s="7" t="s">
        <v>202</v>
      </c>
      <c r="D16" s="7" t="s">
        <v>612</v>
      </c>
      <c r="E16" s="7" t="s">
        <v>570</v>
      </c>
      <c r="F16" s="7" t="s">
        <v>566</v>
      </c>
    </row>
    <row r="17" customFormat="false" ht="15" hidden="false" customHeight="false" outlineLevel="0" collapsed="false">
      <c r="A17" s="7" t="s">
        <v>613</v>
      </c>
      <c r="B17" s="7" t="s">
        <v>614</v>
      </c>
      <c r="C17" s="7" t="s">
        <v>136</v>
      </c>
      <c r="D17" s="7" t="s">
        <v>615</v>
      </c>
      <c r="E17" s="7" t="s">
        <v>570</v>
      </c>
      <c r="F17" s="7" t="s">
        <v>566</v>
      </c>
    </row>
    <row r="18" customFormat="false" ht="15" hidden="false" customHeight="false" outlineLevel="0" collapsed="false">
      <c r="A18" s="7" t="s">
        <v>616</v>
      </c>
      <c r="B18" s="7" t="s">
        <v>617</v>
      </c>
      <c r="C18" s="7" t="s">
        <v>98</v>
      </c>
      <c r="D18" s="7" t="s">
        <v>618</v>
      </c>
      <c r="E18" s="7" t="s">
        <v>619</v>
      </c>
      <c r="F18" s="7" t="s">
        <v>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3" min="3" style="0" width="10"/>
    <col collapsed="false" customWidth="true" hidden="false" outlineLevel="0" max="4" min="4" style="0" width="36"/>
    <col collapsed="false" customWidth="true" hidden="false" outlineLevel="0" max="5" min="5" style="0" width="60"/>
  </cols>
  <sheetData>
    <row r="1" customFormat="false" ht="23.85" hidden="false" customHeight="false" outlineLevel="0" collapsed="false">
      <c r="A1" s="6" t="s">
        <v>620</v>
      </c>
      <c r="B1" s="6" t="s">
        <v>383</v>
      </c>
      <c r="C1" s="6" t="s">
        <v>621</v>
      </c>
      <c r="D1" s="6" t="s">
        <v>622</v>
      </c>
      <c r="E1" s="6" t="s">
        <v>397</v>
      </c>
    </row>
    <row r="2" customFormat="false" ht="15" hidden="false" customHeight="false" outlineLevel="0" collapsed="false">
      <c r="A2" s="7" t="s">
        <v>623</v>
      </c>
      <c r="B2" s="7" t="s">
        <v>624</v>
      </c>
      <c r="C2" s="7" t="s">
        <v>625</v>
      </c>
      <c r="D2" s="7" t="s">
        <v>626</v>
      </c>
      <c r="E2" s="7" t="s">
        <v>627</v>
      </c>
    </row>
    <row r="3" customFormat="false" ht="15" hidden="false" customHeight="false" outlineLevel="0" collapsed="false">
      <c r="A3" s="7" t="s">
        <v>628</v>
      </c>
      <c r="B3" s="7" t="s">
        <v>473</v>
      </c>
      <c r="C3" s="7" t="s">
        <v>629</v>
      </c>
      <c r="D3" s="7" t="s">
        <v>626</v>
      </c>
      <c r="E3" s="7"/>
    </row>
    <row r="4" customFormat="false" ht="15" hidden="false" customHeight="false" outlineLevel="0" collapsed="false">
      <c r="A4" s="7" t="s">
        <v>630</v>
      </c>
      <c r="B4" s="7" t="s">
        <v>477</v>
      </c>
      <c r="C4" s="7" t="s">
        <v>300</v>
      </c>
      <c r="D4" s="7" t="s">
        <v>631</v>
      </c>
      <c r="E4" s="7" t="s">
        <v>632</v>
      </c>
    </row>
    <row r="5" customFormat="false" ht="15" hidden="false" customHeight="false" outlineLevel="0" collapsed="false">
      <c r="A5" s="7" t="s">
        <v>633</v>
      </c>
      <c r="B5" s="7" t="s">
        <v>470</v>
      </c>
      <c r="C5" s="7" t="s">
        <v>223</v>
      </c>
      <c r="D5" s="7" t="s">
        <v>634</v>
      </c>
      <c r="E5" s="7"/>
    </row>
    <row r="6" customFormat="false" ht="15" hidden="false" customHeight="false" outlineLevel="0" collapsed="false">
      <c r="A6" s="7" t="s">
        <v>635</v>
      </c>
      <c r="B6" s="7" t="s">
        <v>470</v>
      </c>
      <c r="C6" s="7" t="s">
        <v>315</v>
      </c>
      <c r="D6" s="7" t="s">
        <v>636</v>
      </c>
      <c r="E6" s="7" t="s">
        <v>637</v>
      </c>
    </row>
    <row r="7" customFormat="false" ht="15" hidden="false" customHeight="false" outlineLevel="0" collapsed="false">
      <c r="A7" s="7" t="s">
        <v>638</v>
      </c>
      <c r="B7" s="7" t="s">
        <v>481</v>
      </c>
      <c r="C7" s="7" t="s">
        <v>322</v>
      </c>
      <c r="D7" s="7" t="s">
        <v>639</v>
      </c>
      <c r="E7" s="7"/>
    </row>
    <row r="8" customFormat="false" ht="23.85" hidden="false" customHeight="false" outlineLevel="0" collapsed="false">
      <c r="A8" s="7" t="s">
        <v>640</v>
      </c>
      <c r="B8" s="7" t="s">
        <v>484</v>
      </c>
      <c r="C8" s="7" t="s">
        <v>641</v>
      </c>
      <c r="D8" s="7" t="s">
        <v>642</v>
      </c>
      <c r="E8" s="7" t="s">
        <v>643</v>
      </c>
    </row>
    <row r="9" customFormat="false" ht="15" hidden="false" customHeight="false" outlineLevel="0" collapsed="false">
      <c r="A9" s="7" t="s">
        <v>386</v>
      </c>
      <c r="B9" s="7" t="s">
        <v>491</v>
      </c>
      <c r="C9" s="7" t="s">
        <v>291</v>
      </c>
      <c r="D9" s="7" t="s">
        <v>644</v>
      </c>
      <c r="E9"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80"/>
    <col collapsed="false" customWidth="true" hidden="false" outlineLevel="0" max="4" min="4" style="0" width="12"/>
    <col collapsed="false" customWidth="true" hidden="false" outlineLevel="0" max="5" min="5" style="0" width="8"/>
    <col collapsed="false" customWidth="true" hidden="false" outlineLevel="0" max="6" min="6" style="0" width="50"/>
  </cols>
  <sheetData>
    <row r="1" customFormat="false" ht="23.85" hidden="false" customHeight="false" outlineLevel="0" collapsed="false">
      <c r="A1" s="6" t="s">
        <v>645</v>
      </c>
      <c r="B1" s="6" t="s">
        <v>646</v>
      </c>
      <c r="C1" s="6" t="s">
        <v>647</v>
      </c>
      <c r="D1" s="6" t="s">
        <v>648</v>
      </c>
      <c r="E1" s="6" t="s">
        <v>649</v>
      </c>
      <c r="F1" s="6" t="s">
        <v>650</v>
      </c>
    </row>
    <row r="2" customFormat="false" ht="23.85" hidden="false" customHeight="false" outlineLevel="0" collapsed="false">
      <c r="A2" s="7" t="n">
        <v>3</v>
      </c>
      <c r="B2" s="7" t="s">
        <v>651</v>
      </c>
      <c r="C2" s="7" t="s">
        <v>652</v>
      </c>
      <c r="D2" s="7" t="s">
        <v>653</v>
      </c>
      <c r="E2" s="7" t="s">
        <v>208</v>
      </c>
      <c r="F2" s="7" t="s">
        <v>654</v>
      </c>
    </row>
    <row r="3" customFormat="false" ht="23.85" hidden="false" customHeight="false" outlineLevel="0" collapsed="false">
      <c r="A3" s="7" t="n">
        <v>4</v>
      </c>
      <c r="B3" s="7" t="s">
        <v>99</v>
      </c>
      <c r="C3" s="7" t="s">
        <v>655</v>
      </c>
      <c r="D3" s="7" t="s">
        <v>653</v>
      </c>
      <c r="E3" s="7" t="s">
        <v>95</v>
      </c>
      <c r="F3" s="7"/>
    </row>
    <row r="4" customFormat="false" ht="35.05" hidden="false" customHeight="false" outlineLevel="0" collapsed="false">
      <c r="A4" s="7" t="n">
        <v>5</v>
      </c>
      <c r="B4" s="7" t="s">
        <v>656</v>
      </c>
      <c r="C4" s="7" t="s">
        <v>657</v>
      </c>
      <c r="D4" s="7" t="s">
        <v>653</v>
      </c>
      <c r="E4" s="7" t="s">
        <v>117</v>
      </c>
      <c r="F4" s="7"/>
    </row>
    <row r="5" customFormat="false" ht="23.85" hidden="false" customHeight="false" outlineLevel="0" collapsed="false">
      <c r="A5" s="7" t="n">
        <v>6</v>
      </c>
      <c r="B5" s="7" t="s">
        <v>658</v>
      </c>
      <c r="C5" s="7" t="s">
        <v>659</v>
      </c>
      <c r="D5" s="7" t="s">
        <v>653</v>
      </c>
      <c r="E5" s="7" t="s">
        <v>103</v>
      </c>
      <c r="F5" s="7" t="s">
        <v>660</v>
      </c>
    </row>
    <row r="6" customFormat="false" ht="35.05" hidden="false" customHeight="false" outlineLevel="0" collapsed="false">
      <c r="A6" s="7" t="n">
        <v>7</v>
      </c>
      <c r="B6" s="7" t="s">
        <v>661</v>
      </c>
      <c r="C6" s="7" t="s">
        <v>662</v>
      </c>
      <c r="D6" s="7" t="s">
        <v>653</v>
      </c>
      <c r="E6" s="7" t="s">
        <v>62</v>
      </c>
      <c r="F6" s="7" t="s">
        <v>663</v>
      </c>
    </row>
    <row r="7" customFormat="false" ht="15" hidden="false" customHeight="false" outlineLevel="0" collapsed="false">
      <c r="A7" s="7" t="n">
        <v>8</v>
      </c>
      <c r="B7" s="7" t="s">
        <v>664</v>
      </c>
      <c r="C7" s="7" t="s">
        <v>665</v>
      </c>
      <c r="D7" s="7" t="s">
        <v>666</v>
      </c>
      <c r="E7" s="7" t="s">
        <v>215</v>
      </c>
      <c r="F7" s="7" t="s">
        <v>667</v>
      </c>
    </row>
    <row r="8" customFormat="false" ht="35.05" hidden="false" customHeight="false" outlineLevel="0" collapsed="false">
      <c r="A8" s="7" t="n">
        <v>9</v>
      </c>
      <c r="B8" s="7" t="s">
        <v>668</v>
      </c>
      <c r="C8" s="7" t="s">
        <v>669</v>
      </c>
      <c r="D8" s="7" t="s">
        <v>666</v>
      </c>
      <c r="E8" s="7" t="s">
        <v>215</v>
      </c>
      <c r="F8" s="7"/>
    </row>
    <row r="9" customFormat="false" ht="35.05" hidden="false" customHeight="false" outlineLevel="0" collapsed="false">
      <c r="A9" s="7" t="n">
        <v>10</v>
      </c>
      <c r="B9" s="7" t="s">
        <v>670</v>
      </c>
      <c r="C9" s="7" t="s">
        <v>671</v>
      </c>
      <c r="D9" s="7" t="s">
        <v>653</v>
      </c>
      <c r="E9" s="7" t="s">
        <v>39</v>
      </c>
      <c r="F9" s="7" t="s">
        <v>672</v>
      </c>
    </row>
    <row r="10" customFormat="false" ht="35.05" hidden="false" customHeight="false" outlineLevel="0" collapsed="false">
      <c r="A10" s="7" t="n">
        <v>11</v>
      </c>
      <c r="B10" s="7" t="s">
        <v>673</v>
      </c>
      <c r="C10" s="7" t="s">
        <v>674</v>
      </c>
      <c r="D10" s="7" t="s">
        <v>666</v>
      </c>
      <c r="E10" s="7" t="s">
        <v>77</v>
      </c>
      <c r="F10" s="7" t="s">
        <v>675</v>
      </c>
    </row>
    <row r="11" customFormat="false" ht="57.45" hidden="false" customHeight="false" outlineLevel="0" collapsed="false">
      <c r="A11" s="7" t="n">
        <v>12</v>
      </c>
      <c r="B11" s="7" t="s">
        <v>676</v>
      </c>
      <c r="C11" s="7" t="s">
        <v>677</v>
      </c>
      <c r="D11" s="7" t="s">
        <v>666</v>
      </c>
      <c r="E11" s="7" t="s">
        <v>77</v>
      </c>
      <c r="F11" s="7" t="s">
        <v>678</v>
      </c>
    </row>
    <row r="12" customFormat="false" ht="113.4" hidden="false" customHeight="false" outlineLevel="0" collapsed="false">
      <c r="A12" s="7" t="n">
        <v>13</v>
      </c>
      <c r="B12" s="7" t="s">
        <v>679</v>
      </c>
      <c r="C12" s="7" t="s">
        <v>680</v>
      </c>
      <c r="D12" s="7" t="s">
        <v>681</v>
      </c>
      <c r="E12" s="7" t="s">
        <v>682</v>
      </c>
      <c r="F12" s="7" t="s">
        <v>683</v>
      </c>
    </row>
    <row r="13" customFormat="false" ht="23.85" hidden="false" customHeight="false" outlineLevel="0" collapsed="false">
      <c r="A13" s="7" t="n">
        <v>14</v>
      </c>
      <c r="B13" s="7" t="s">
        <v>684</v>
      </c>
      <c r="C13" s="7" t="s">
        <v>685</v>
      </c>
      <c r="D13" s="7" t="s">
        <v>653</v>
      </c>
      <c r="E13" s="7" t="s">
        <v>110</v>
      </c>
      <c r="F13" s="7"/>
    </row>
    <row r="14" customFormat="false" ht="35.05" hidden="false" customHeight="false" outlineLevel="0" collapsed="false">
      <c r="A14" s="7" t="n">
        <v>15</v>
      </c>
      <c r="B14" s="7" t="s">
        <v>686</v>
      </c>
      <c r="C14" s="7" t="s">
        <v>687</v>
      </c>
      <c r="D14" s="7" t="s">
        <v>653</v>
      </c>
      <c r="E14" s="7" t="s">
        <v>125</v>
      </c>
      <c r="F14" s="7" t="s">
        <v>688</v>
      </c>
    </row>
    <row r="15" customFormat="false" ht="46.25" hidden="false" customHeight="false" outlineLevel="0" collapsed="false">
      <c r="A15" s="7" t="n">
        <v>16</v>
      </c>
      <c r="B15" s="7" t="s">
        <v>689</v>
      </c>
      <c r="C15" s="7" t="s">
        <v>690</v>
      </c>
      <c r="D15" s="7" t="s">
        <v>653</v>
      </c>
      <c r="E15" s="7" t="s">
        <v>48</v>
      </c>
      <c r="F15" s="7"/>
    </row>
    <row r="16" customFormat="false" ht="57.45" hidden="false" customHeight="false" outlineLevel="0" collapsed="false">
      <c r="A16" s="7" t="n">
        <v>17</v>
      </c>
      <c r="B16" s="7" t="s">
        <v>691</v>
      </c>
      <c r="C16" s="7" t="s">
        <v>692</v>
      </c>
      <c r="D16" s="7" t="s">
        <v>653</v>
      </c>
      <c r="E16" s="7" t="s">
        <v>134</v>
      </c>
      <c r="F16" s="7"/>
    </row>
    <row r="17" customFormat="false" ht="35.05" hidden="false" customHeight="false" outlineLevel="0" collapsed="false">
      <c r="A17" s="7" t="n">
        <v>18</v>
      </c>
      <c r="B17" s="7" t="s">
        <v>693</v>
      </c>
      <c r="C17" s="7" t="s">
        <v>694</v>
      </c>
      <c r="D17" s="7" t="s">
        <v>653</v>
      </c>
      <c r="E17" s="7" t="s">
        <v>142</v>
      </c>
      <c r="F17" s="7"/>
    </row>
    <row r="18" customFormat="false" ht="23.85" hidden="false" customHeight="false" outlineLevel="0" collapsed="false">
      <c r="A18" s="7" t="n">
        <v>19</v>
      </c>
      <c r="B18" s="7" t="s">
        <v>695</v>
      </c>
      <c r="C18" s="7" t="s">
        <v>696</v>
      </c>
      <c r="D18" s="7" t="s">
        <v>666</v>
      </c>
      <c r="E18" s="7" t="s">
        <v>307</v>
      </c>
      <c r="F18" s="7" t="s">
        <v>697</v>
      </c>
    </row>
    <row r="19" customFormat="false" ht="46.25" hidden="false" customHeight="false" outlineLevel="0" collapsed="false">
      <c r="A19" s="7" t="n">
        <v>20</v>
      </c>
      <c r="B19" s="7" t="s">
        <v>698</v>
      </c>
      <c r="C19" s="7" t="s">
        <v>699</v>
      </c>
      <c r="D19" s="7" t="s">
        <v>653</v>
      </c>
      <c r="E19" s="7" t="s">
        <v>229</v>
      </c>
      <c r="F19" s="7" t="s">
        <v>700</v>
      </c>
    </row>
    <row r="20" customFormat="false" ht="35.05" hidden="false" customHeight="false" outlineLevel="0" collapsed="false">
      <c r="A20" s="7" t="n">
        <v>21</v>
      </c>
      <c r="B20" s="7" t="s">
        <v>701</v>
      </c>
      <c r="C20" s="7" t="s">
        <v>702</v>
      </c>
      <c r="D20" s="7" t="s">
        <v>653</v>
      </c>
      <c r="E20" s="7" t="s">
        <v>238</v>
      </c>
      <c r="F20" s="7"/>
    </row>
    <row r="21" customFormat="false" ht="46.25" hidden="false" customHeight="false" outlineLevel="0" collapsed="false">
      <c r="A21" s="7" t="n">
        <v>22</v>
      </c>
      <c r="B21" s="7" t="s">
        <v>703</v>
      </c>
      <c r="C21" s="7" t="s">
        <v>704</v>
      </c>
      <c r="D21" s="7" t="s">
        <v>653</v>
      </c>
      <c r="E21" s="7" t="s">
        <v>87</v>
      </c>
      <c r="F21" s="7" t="s">
        <v>705</v>
      </c>
    </row>
    <row r="22" customFormat="false" ht="15" hidden="false" customHeight="false" outlineLevel="0" collapsed="false">
      <c r="A22" s="7" t="n">
        <v>23</v>
      </c>
      <c r="B22" s="7" t="s">
        <v>706</v>
      </c>
      <c r="C22" s="7" t="s">
        <v>707</v>
      </c>
      <c r="D22" s="7" t="s">
        <v>653</v>
      </c>
      <c r="E22" s="7" t="s">
        <v>172</v>
      </c>
      <c r="F22" s="7"/>
    </row>
    <row r="23" customFormat="false" ht="15" hidden="false" customHeight="false" outlineLevel="0" collapsed="false">
      <c r="A23" s="7" t="n">
        <v>24</v>
      </c>
      <c r="B23" s="7" t="s">
        <v>708</v>
      </c>
      <c r="C23" s="7" t="s">
        <v>709</v>
      </c>
      <c r="D23" s="7" t="s">
        <v>653</v>
      </c>
      <c r="E23" s="7" t="s">
        <v>252</v>
      </c>
      <c r="F23" s="7" t="s">
        <v>710</v>
      </c>
    </row>
    <row r="24" customFormat="false" ht="23.85" hidden="false" customHeight="false" outlineLevel="0" collapsed="false">
      <c r="A24" s="7" t="n">
        <v>25</v>
      </c>
      <c r="B24" s="7" t="s">
        <v>711</v>
      </c>
      <c r="C24" s="7" t="s">
        <v>712</v>
      </c>
      <c r="D24" s="7" t="s">
        <v>653</v>
      </c>
      <c r="E24" s="7" t="s">
        <v>55</v>
      </c>
      <c r="F24" s="7"/>
    </row>
    <row r="25" customFormat="false" ht="23.85" hidden="false" customHeight="false" outlineLevel="0" collapsed="false">
      <c r="A25" s="7" t="n">
        <v>26</v>
      </c>
      <c r="B25" s="7" t="s">
        <v>713</v>
      </c>
      <c r="C25" s="7" t="s">
        <v>714</v>
      </c>
      <c r="D25" s="7" t="s">
        <v>666</v>
      </c>
      <c r="E25" s="7" t="s">
        <v>307</v>
      </c>
      <c r="F25" s="7" t="s">
        <v>715</v>
      </c>
    </row>
    <row r="26" customFormat="false" ht="35.05" hidden="false" customHeight="false" outlineLevel="0" collapsed="false">
      <c r="A26" s="7" t="n">
        <v>27</v>
      </c>
      <c r="B26" s="7" t="s">
        <v>716</v>
      </c>
      <c r="C26" s="7" t="s">
        <v>717</v>
      </c>
      <c r="D26" s="7" t="s">
        <v>653</v>
      </c>
      <c r="E26" s="7" t="s">
        <v>70</v>
      </c>
      <c r="F26" s="7"/>
    </row>
    <row r="27" customFormat="false" ht="46.25" hidden="false" customHeight="false" outlineLevel="0" collapsed="false">
      <c r="A27" s="7" t="n">
        <v>28</v>
      </c>
      <c r="B27" s="7" t="s">
        <v>718</v>
      </c>
      <c r="C27" s="7" t="s">
        <v>719</v>
      </c>
      <c r="D27" s="7" t="s">
        <v>653</v>
      </c>
      <c r="E27" s="7" t="s">
        <v>282</v>
      </c>
      <c r="F27" s="7" t="s">
        <v>720</v>
      </c>
    </row>
    <row r="28" customFormat="false" ht="57.45" hidden="false" customHeight="false" outlineLevel="0" collapsed="false">
      <c r="A28" s="7" t="n">
        <v>29</v>
      </c>
      <c r="B28" s="7" t="s">
        <v>721</v>
      </c>
      <c r="C28" s="7" t="s">
        <v>722</v>
      </c>
      <c r="D28" s="7" t="s">
        <v>653</v>
      </c>
      <c r="E28" s="7" t="s">
        <v>290</v>
      </c>
      <c r="F28" s="7" t="s">
        <v>723</v>
      </c>
    </row>
    <row r="29" customFormat="false" ht="35.05" hidden="false" customHeight="false" outlineLevel="0" collapsed="false">
      <c r="A29" s="7" t="n">
        <v>30</v>
      </c>
      <c r="B29" s="7" t="s">
        <v>724</v>
      </c>
      <c r="C29" s="7" t="s">
        <v>725</v>
      </c>
      <c r="D29" s="7" t="s">
        <v>653</v>
      </c>
      <c r="E29" s="7" t="s">
        <v>245</v>
      </c>
      <c r="F29" s="7" t="s">
        <v>726</v>
      </c>
    </row>
    <row r="30" customFormat="false" ht="15" hidden="false" customHeight="false" outlineLevel="0" collapsed="false">
      <c r="A30" s="7" t="n">
        <v>31</v>
      </c>
      <c r="B30" s="7" t="s">
        <v>727</v>
      </c>
      <c r="C30" s="7" t="s">
        <v>728</v>
      </c>
      <c r="D30" s="7" t="s">
        <v>653</v>
      </c>
      <c r="E30" s="7" t="s">
        <v>178</v>
      </c>
      <c r="F30" s="7" t="s">
        <v>729</v>
      </c>
    </row>
    <row r="31" customFormat="false" ht="46.25" hidden="false" customHeight="false" outlineLevel="0" collapsed="false">
      <c r="A31" s="7" t="n">
        <v>32</v>
      </c>
      <c r="B31" s="7" t="s">
        <v>730</v>
      </c>
      <c r="C31" s="7" t="s">
        <v>731</v>
      </c>
      <c r="D31" s="7" t="s">
        <v>653</v>
      </c>
      <c r="E31" s="7" t="s">
        <v>165</v>
      </c>
      <c r="F31" s="7" t="s">
        <v>732</v>
      </c>
    </row>
    <row r="32" customFormat="false" ht="15" hidden="false" customHeight="false" outlineLevel="0" collapsed="false">
      <c r="A32" s="7" t="n">
        <v>33</v>
      </c>
      <c r="B32" s="7" t="s">
        <v>733</v>
      </c>
      <c r="C32" s="7" t="s">
        <v>734</v>
      </c>
      <c r="D32" s="7" t="s">
        <v>653</v>
      </c>
      <c r="E32" s="7" t="s">
        <v>185</v>
      </c>
      <c r="F32" s="7"/>
    </row>
    <row r="33" customFormat="false" ht="23.85" hidden="false" customHeight="false" outlineLevel="0" collapsed="false">
      <c r="A33" s="7" t="n">
        <v>34</v>
      </c>
      <c r="B33" s="7" t="s">
        <v>735</v>
      </c>
      <c r="C33" s="7" t="s">
        <v>736</v>
      </c>
      <c r="D33" s="7" t="s">
        <v>653</v>
      </c>
      <c r="E33" s="7" t="s">
        <v>260</v>
      </c>
      <c r="F33" s="7"/>
    </row>
    <row r="34" customFormat="false" ht="46.25" hidden="false" customHeight="false" outlineLevel="0" collapsed="false">
      <c r="A34" s="7" t="n">
        <v>35</v>
      </c>
      <c r="B34" s="7" t="s">
        <v>737</v>
      </c>
      <c r="C34" s="7" t="s">
        <v>738</v>
      </c>
      <c r="D34" s="7" t="s">
        <v>653</v>
      </c>
      <c r="E34" s="7" t="s">
        <v>158</v>
      </c>
      <c r="F34" s="7"/>
    </row>
    <row r="35" customFormat="false" ht="15" hidden="false" customHeight="false" outlineLevel="0" collapsed="false">
      <c r="A35" s="7" t="n">
        <v>36</v>
      </c>
      <c r="B35" s="7" t="s">
        <v>739</v>
      </c>
      <c r="C35" s="7" t="s">
        <v>740</v>
      </c>
      <c r="D35" s="7" t="s">
        <v>653</v>
      </c>
      <c r="E35" s="7" t="s">
        <v>299</v>
      </c>
      <c r="F35" s="7"/>
    </row>
    <row r="36" customFormat="false" ht="35.05" hidden="false" customHeight="false" outlineLevel="0" collapsed="false">
      <c r="A36" s="7" t="n">
        <v>37</v>
      </c>
      <c r="B36" s="7" t="s">
        <v>741</v>
      </c>
      <c r="C36" s="7" t="s">
        <v>742</v>
      </c>
      <c r="D36" s="7" t="s">
        <v>653</v>
      </c>
      <c r="E36" s="7" t="s">
        <v>274</v>
      </c>
      <c r="F36" s="7"/>
    </row>
    <row r="37" customFormat="false" ht="35.05" hidden="false" customHeight="false" outlineLevel="0" collapsed="false">
      <c r="A37" s="7" t="n">
        <v>38</v>
      </c>
      <c r="B37" s="7" t="s">
        <v>743</v>
      </c>
      <c r="C37" s="7" t="s">
        <v>744</v>
      </c>
      <c r="D37" s="7" t="s">
        <v>653</v>
      </c>
      <c r="E37" s="7" t="s">
        <v>151</v>
      </c>
      <c r="F37" s="7"/>
    </row>
    <row r="38" customFormat="false" ht="35.05" hidden="false" customHeight="false" outlineLevel="0" collapsed="false">
      <c r="A38" s="7" t="n">
        <v>39</v>
      </c>
      <c r="B38" s="7" t="s">
        <v>745</v>
      </c>
      <c r="C38" s="7" t="s">
        <v>746</v>
      </c>
      <c r="D38" s="7" t="s">
        <v>653</v>
      </c>
      <c r="E38" s="7" t="s">
        <v>222</v>
      </c>
      <c r="F38" s="7"/>
    </row>
    <row r="39" customFormat="false" ht="23.85" hidden="false" customHeight="false" outlineLevel="0" collapsed="false">
      <c r="A39" s="7" t="n">
        <v>40</v>
      </c>
      <c r="B39" s="7" t="s">
        <v>747</v>
      </c>
      <c r="C39" s="7" t="s">
        <v>748</v>
      </c>
      <c r="D39" s="7" t="s">
        <v>653</v>
      </c>
      <c r="E39" s="7" t="s">
        <v>321</v>
      </c>
      <c r="F39" s="7"/>
    </row>
    <row r="40" customFormat="false" ht="35.05" hidden="false" customHeight="false" outlineLevel="0" collapsed="false">
      <c r="A40" s="7" t="n">
        <v>41</v>
      </c>
      <c r="B40" s="7" t="s">
        <v>749</v>
      </c>
      <c r="C40" s="7" t="s">
        <v>750</v>
      </c>
      <c r="D40" s="7" t="s">
        <v>653</v>
      </c>
      <c r="E40" s="7" t="s">
        <v>314</v>
      </c>
      <c r="F40" s="7"/>
    </row>
    <row r="41" customFormat="false" ht="23.85" hidden="false" customHeight="false" outlineLevel="0" collapsed="false">
      <c r="A41" s="7" t="n">
        <v>42</v>
      </c>
      <c r="B41" s="7" t="s">
        <v>751</v>
      </c>
      <c r="C41" s="7" t="s">
        <v>752</v>
      </c>
      <c r="D41" s="7" t="s">
        <v>653</v>
      </c>
      <c r="E41" s="7" t="s">
        <v>193</v>
      </c>
      <c r="F41" s="7" t="s">
        <v>753</v>
      </c>
    </row>
    <row r="42" customFormat="false" ht="15" hidden="false" customHeight="false" outlineLevel="0" collapsed="false">
      <c r="A42" s="7" t="n">
        <v>43</v>
      </c>
      <c r="B42" s="7" t="s">
        <v>754</v>
      </c>
      <c r="C42" s="7" t="s">
        <v>755</v>
      </c>
      <c r="D42" s="7" t="s">
        <v>653</v>
      </c>
      <c r="E42" s="7" t="s">
        <v>200</v>
      </c>
      <c r="F42" s="7"/>
    </row>
    <row r="43" customFormat="false" ht="23.85" hidden="false" customHeight="false" outlineLevel="0" collapsed="false">
      <c r="A43" s="7" t="n">
        <v>44</v>
      </c>
      <c r="B43" s="7" t="s">
        <v>269</v>
      </c>
      <c r="C43" s="7" t="s">
        <v>756</v>
      </c>
      <c r="D43" s="7" t="s">
        <v>653</v>
      </c>
      <c r="E43" s="7" t="s">
        <v>267</v>
      </c>
      <c r="F43"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2026-10-05T10:31:23Z</dcterms:created>
  <dc:creator>openpyxl</dc:creator>
  <dc:description/>
  <dc:language>en-US</dc:language>
  <cp:lastModifiedBy/>
  <dcterms:modified xsi:type="dcterms:W3CDTF">2026-10-05T10:31:24Z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